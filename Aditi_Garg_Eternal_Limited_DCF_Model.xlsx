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9"/>
  <workbookPr defaultThemeVersion="166925"/>
  <xr:revisionPtr revIDLastSave="0" documentId="8_{39C1356F-2F4C-40FA-A56C-6BAA1C0B8810}" xr6:coauthVersionLast="47" xr6:coauthVersionMax="47" xr10:uidLastSave="{00000000-0000-0000-0000-000000000000}"/>
  <bookViews>
    <workbookView xWindow="240" yWindow="105" windowWidth="14805" windowHeight="8010" firstSheet="8" activeTab="6" xr2:uid="{00000000-000D-0000-FFFF-FFFF00000000}"/>
  </bookViews>
  <sheets>
    <sheet name="Cover" sheetId="5" r:id="rId1"/>
    <sheet name="Historical Financials" sheetId="1" r:id="rId2"/>
    <sheet name="KPIs" sheetId="8" r:id="rId3"/>
    <sheet name="Assumptions" sheetId="7" r:id="rId4"/>
    <sheet name="Revenue Model" sheetId="6" r:id="rId5"/>
    <sheet name="3-Statement" sheetId="4" r:id="rId6"/>
    <sheet name="DCF + Sensitivity" sheetId="3" r:id="rId7"/>
    <sheet name="SOTP Valution" sheetId="11" r:id="rId8"/>
    <sheet name="Comps" sheetId="2" r:id="rId9"/>
    <sheet name="Cost &amp; Margin   " sheetId="9" r:id="rId10"/>
    <sheet name=" SEGMENT P&amp;L" sheetId="10"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3" l="1"/>
  <c r="C77" i="3"/>
  <c r="C76" i="3"/>
  <c r="D76" i="3"/>
  <c r="C75" i="3"/>
  <c r="D75" i="3"/>
  <c r="F113" i="7"/>
  <c r="C83" i="4"/>
  <c r="D83" i="4"/>
  <c r="E83" i="4"/>
  <c r="F83" i="4"/>
  <c r="I24" i="11"/>
  <c r="J24" i="11"/>
  <c r="H24" i="11"/>
  <c r="D13" i="11"/>
  <c r="D11" i="11"/>
  <c r="C10" i="4"/>
  <c r="F151" i="7"/>
  <c r="F150" i="7"/>
  <c r="F149" i="7"/>
  <c r="D62" i="10"/>
  <c r="E62" i="10"/>
  <c r="C62" i="10"/>
  <c r="C77" i="10" s="1"/>
  <c r="D60" i="10"/>
  <c r="D71" i="10" s="1"/>
  <c r="D59" i="10"/>
  <c r="D58" i="10"/>
  <c r="C60" i="10"/>
  <c r="C71" i="10" s="1"/>
  <c r="C59" i="10"/>
  <c r="C58" i="10"/>
  <c r="D52" i="10"/>
  <c r="D53" i="10"/>
  <c r="C53" i="10"/>
  <c r="C52" i="10"/>
  <c r="C76" i="10" s="1"/>
  <c r="D48" i="10"/>
  <c r="D70" i="10" s="1"/>
  <c r="C48" i="10"/>
  <c r="C70" i="10" s="1"/>
  <c r="D49" i="10"/>
  <c r="C49" i="10"/>
  <c r="D41" i="10"/>
  <c r="E41" i="10"/>
  <c r="C41" i="10"/>
  <c r="C75" i="10" s="1"/>
  <c r="D32" i="10"/>
  <c r="E32" i="10"/>
  <c r="C32" i="10"/>
  <c r="D31" i="10"/>
  <c r="D69" i="10" s="1"/>
  <c r="E31" i="10"/>
  <c r="E69" i="10" s="1"/>
  <c r="C31" i="10"/>
  <c r="C69" i="10" s="1"/>
  <c r="D30" i="10"/>
  <c r="E30" i="10"/>
  <c r="C30" i="10"/>
  <c r="D29" i="10"/>
  <c r="E29" i="10"/>
  <c r="C29" i="10"/>
  <c r="D26" i="10"/>
  <c r="D25" i="10"/>
  <c r="C26" i="10"/>
  <c r="C25" i="10"/>
  <c r="D19" i="10"/>
  <c r="E19" i="10"/>
  <c r="C19" i="10"/>
  <c r="D21" i="10"/>
  <c r="E21" i="10"/>
  <c r="F21" i="10"/>
  <c r="G21" i="10"/>
  <c r="H21" i="10"/>
  <c r="I21" i="10"/>
  <c r="D22" i="10"/>
  <c r="E22" i="10"/>
  <c r="F22" i="10"/>
  <c r="G22" i="10"/>
  <c r="H22" i="10"/>
  <c r="I22" i="10"/>
  <c r="C22" i="10"/>
  <c r="C21" i="10"/>
  <c r="D16" i="10"/>
  <c r="E16" i="10"/>
  <c r="D15" i="10"/>
  <c r="E15" i="10"/>
  <c r="C16" i="10"/>
  <c r="C15" i="10"/>
  <c r="C74" i="10" s="1"/>
  <c r="D10" i="10"/>
  <c r="E10" i="10"/>
  <c r="C10" i="10"/>
  <c r="D7" i="10"/>
  <c r="E7" i="10"/>
  <c r="D6" i="10"/>
  <c r="E6" i="10"/>
  <c r="E8" i="10" s="1"/>
  <c r="C7" i="10"/>
  <c r="C6" i="10"/>
  <c r="D9" i="10"/>
  <c r="D68" i="10" s="1"/>
  <c r="E9" i="10"/>
  <c r="E68" i="10" s="1"/>
  <c r="C9" i="10"/>
  <c r="C68" i="10" s="1"/>
  <c r="C8" i="9"/>
  <c r="C21" i="3"/>
  <c r="D9" i="3"/>
  <c r="D59" i="6"/>
  <c r="E59" i="6"/>
  <c r="F59" i="6"/>
  <c r="C59" i="6"/>
  <c r="C7" i="6"/>
  <c r="D78" i="8"/>
  <c r="E78" i="8"/>
  <c r="F78" i="8"/>
  <c r="C78" i="8"/>
  <c r="C75" i="8"/>
  <c r="D75" i="8"/>
  <c r="E75" i="8"/>
  <c r="F75" i="8"/>
  <c r="C76" i="8"/>
  <c r="D76" i="8"/>
  <c r="E76" i="8"/>
  <c r="F76" i="8"/>
  <c r="C77" i="8"/>
  <c r="D77" i="8"/>
  <c r="E77" i="8"/>
  <c r="F77" i="8"/>
  <c r="D74" i="8"/>
  <c r="E74" i="8"/>
  <c r="F74" i="8"/>
  <c r="C74" i="8"/>
  <c r="D55" i="8"/>
  <c r="E55" i="8"/>
  <c r="F55" i="8"/>
  <c r="D56" i="8"/>
  <c r="E56" i="8"/>
  <c r="F56" i="8"/>
  <c r="D57" i="8"/>
  <c r="E57" i="8"/>
  <c r="F57" i="8"/>
  <c r="D58" i="8"/>
  <c r="E58" i="8"/>
  <c r="F58" i="8"/>
  <c r="D59" i="8"/>
  <c r="E59" i="8"/>
  <c r="F59" i="8"/>
  <c r="C56" i="8"/>
  <c r="C57" i="8"/>
  <c r="C58" i="8"/>
  <c r="C59" i="8"/>
  <c r="C55" i="8"/>
  <c r="D49" i="8"/>
  <c r="E49" i="8"/>
  <c r="F49" i="8"/>
  <c r="C49" i="8"/>
  <c r="D48" i="8"/>
  <c r="E48" i="8"/>
  <c r="F48" i="8"/>
  <c r="C48" i="8"/>
  <c r="D21" i="8"/>
  <c r="E21" i="8"/>
  <c r="F21" i="8"/>
  <c r="C21" i="8"/>
  <c r="D18" i="8"/>
  <c r="E18" i="8"/>
  <c r="F18" i="8"/>
  <c r="C18" i="8"/>
  <c r="D16" i="8"/>
  <c r="E16" i="8"/>
  <c r="F16" i="8"/>
  <c r="C16" i="8"/>
  <c r="C7" i="8"/>
  <c r="K74" i="5"/>
  <c r="D40" i="1"/>
  <c r="E40" i="1"/>
  <c r="F40" i="1"/>
  <c r="C40" i="1"/>
  <c r="K71" i="5"/>
  <c r="K72" i="5"/>
  <c r="K70" i="5"/>
  <c r="K69" i="5"/>
  <c r="K68" i="5"/>
  <c r="F148" i="7"/>
  <c r="C11" i="3"/>
  <c r="E22" i="3"/>
  <c r="D22" i="3"/>
  <c r="C22" i="3"/>
  <c r="F79" i="1"/>
  <c r="F20" i="8" s="1"/>
  <c r="E79" i="1"/>
  <c r="E20" i="8" s="1"/>
  <c r="D79" i="1"/>
  <c r="D20" i="8" s="1"/>
  <c r="C79" i="1"/>
  <c r="C20" i="8" s="1"/>
  <c r="D74" i="1"/>
  <c r="E74" i="1"/>
  <c r="F74" i="1"/>
  <c r="C74" i="1"/>
  <c r="D42" i="1"/>
  <c r="D69" i="6" s="1"/>
  <c r="E42" i="1"/>
  <c r="F42" i="1"/>
  <c r="C42" i="1"/>
  <c r="D54" i="3"/>
  <c r="H27" i="11" s="1"/>
  <c r="D141" i="1"/>
  <c r="E141" i="1"/>
  <c r="F141" i="1"/>
  <c r="C141" i="1"/>
  <c r="D139" i="1"/>
  <c r="E139" i="1"/>
  <c r="F139" i="1"/>
  <c r="C139" i="1"/>
  <c r="D57" i="1"/>
  <c r="E57" i="1"/>
  <c r="F57" i="1"/>
  <c r="C57" i="1"/>
  <c r="H50" i="4"/>
  <c r="I50" i="4"/>
  <c r="J50" i="4"/>
  <c r="G50" i="4"/>
  <c r="D44" i="4"/>
  <c r="E44" i="4"/>
  <c r="F44" i="4"/>
  <c r="C44" i="4"/>
  <c r="I43" i="4"/>
  <c r="J43" i="4"/>
  <c r="I44" i="4"/>
  <c r="J44" i="4"/>
  <c r="G44" i="4"/>
  <c r="H44" i="4"/>
  <c r="H43" i="4"/>
  <c r="G43" i="4"/>
  <c r="H22" i="4"/>
  <c r="H33" i="9" s="1"/>
  <c r="I22" i="4"/>
  <c r="I33" i="9" s="1"/>
  <c r="J22" i="4"/>
  <c r="J33" i="9" s="1"/>
  <c r="G22" i="4"/>
  <c r="G33" i="9" s="1"/>
  <c r="D178" i="4"/>
  <c r="E178" i="4"/>
  <c r="C178" i="4"/>
  <c r="H171" i="4"/>
  <c r="I171" i="4"/>
  <c r="J171" i="4"/>
  <c r="G171" i="4"/>
  <c r="H170" i="4"/>
  <c r="I170" i="4"/>
  <c r="J170" i="4"/>
  <c r="G170" i="4"/>
  <c r="H163" i="4"/>
  <c r="I163" i="4"/>
  <c r="J163" i="4"/>
  <c r="G163" i="4"/>
  <c r="H161" i="4"/>
  <c r="I161" i="4"/>
  <c r="J161" i="4"/>
  <c r="G161" i="4"/>
  <c r="H158" i="4"/>
  <c r="I158" i="4"/>
  <c r="J158" i="4"/>
  <c r="H159" i="4"/>
  <c r="I159" i="4"/>
  <c r="J159" i="4"/>
  <c r="G159" i="4"/>
  <c r="G158" i="4"/>
  <c r="H151" i="4"/>
  <c r="I151" i="4"/>
  <c r="J151" i="4"/>
  <c r="H152" i="4"/>
  <c r="I152" i="4"/>
  <c r="J152" i="4"/>
  <c r="H153" i="4"/>
  <c r="I153" i="4"/>
  <c r="J153" i="4"/>
  <c r="H154" i="4"/>
  <c r="I154" i="4"/>
  <c r="J154" i="4"/>
  <c r="G152" i="4"/>
  <c r="G153" i="4"/>
  <c r="G154" i="4"/>
  <c r="G151" i="4"/>
  <c r="H150" i="4"/>
  <c r="I150" i="4"/>
  <c r="J150" i="4"/>
  <c r="G150" i="4"/>
  <c r="H149" i="4"/>
  <c r="I149" i="4"/>
  <c r="J149" i="4"/>
  <c r="G149" i="4"/>
  <c r="C167" i="4"/>
  <c r="D167" i="4"/>
  <c r="E167" i="4"/>
  <c r="F167" i="4"/>
  <c r="D168" i="4"/>
  <c r="E168" i="4"/>
  <c r="F168" i="4"/>
  <c r="D169" i="4"/>
  <c r="E169" i="4"/>
  <c r="F169" i="4"/>
  <c r="D170" i="4"/>
  <c r="E170" i="4"/>
  <c r="F170" i="4"/>
  <c r="D171" i="4"/>
  <c r="E171" i="4"/>
  <c r="F171" i="4"/>
  <c r="D172" i="4"/>
  <c r="E172" i="4"/>
  <c r="F172" i="4"/>
  <c r="D173" i="4"/>
  <c r="E173" i="4"/>
  <c r="F173" i="4"/>
  <c r="C168" i="4"/>
  <c r="C169" i="4"/>
  <c r="C170" i="4"/>
  <c r="C171" i="4"/>
  <c r="C172" i="4"/>
  <c r="C173" i="4"/>
  <c r="D149" i="4"/>
  <c r="E149" i="4"/>
  <c r="F149" i="4"/>
  <c r="D150" i="4"/>
  <c r="E150" i="4"/>
  <c r="F150" i="4"/>
  <c r="D151" i="4"/>
  <c r="E151" i="4"/>
  <c r="F151" i="4"/>
  <c r="D152" i="4"/>
  <c r="E152" i="4"/>
  <c r="F152" i="4"/>
  <c r="D153" i="4"/>
  <c r="E153" i="4"/>
  <c r="F153" i="4"/>
  <c r="D154" i="4"/>
  <c r="E154" i="4"/>
  <c r="F154" i="4"/>
  <c r="D155" i="4"/>
  <c r="E155" i="4"/>
  <c r="F155" i="4"/>
  <c r="D156" i="4"/>
  <c r="E156" i="4"/>
  <c r="F156" i="4"/>
  <c r="G156" i="4" s="1"/>
  <c r="H156" i="4" s="1"/>
  <c r="I156" i="4" s="1"/>
  <c r="J156" i="4" s="1"/>
  <c r="D157" i="4"/>
  <c r="E157" i="4"/>
  <c r="F157" i="4"/>
  <c r="G157" i="4" s="1"/>
  <c r="H157" i="4" s="1"/>
  <c r="I157" i="4" s="1"/>
  <c r="J157" i="4" s="1"/>
  <c r="D158" i="4"/>
  <c r="E158" i="4"/>
  <c r="F158" i="4"/>
  <c r="D159" i="4"/>
  <c r="E159" i="4"/>
  <c r="F159" i="4"/>
  <c r="D160" i="4"/>
  <c r="E160" i="4"/>
  <c r="F160" i="4"/>
  <c r="G160" i="4" s="1"/>
  <c r="H160" i="4" s="1"/>
  <c r="I160" i="4" s="1"/>
  <c r="J160" i="4" s="1"/>
  <c r="D161" i="4"/>
  <c r="E161" i="4"/>
  <c r="F161" i="4"/>
  <c r="D162" i="4"/>
  <c r="E162" i="4"/>
  <c r="F162" i="4"/>
  <c r="G162" i="4" s="1"/>
  <c r="H162" i="4" s="1"/>
  <c r="I162" i="4" s="1"/>
  <c r="J162" i="4" s="1"/>
  <c r="D163" i="4"/>
  <c r="E163" i="4"/>
  <c r="F163" i="4"/>
  <c r="C150" i="4"/>
  <c r="C151" i="4"/>
  <c r="C152" i="4"/>
  <c r="C153" i="4"/>
  <c r="C154" i="4"/>
  <c r="C155" i="4"/>
  <c r="C156" i="4"/>
  <c r="C157" i="4"/>
  <c r="C158" i="4"/>
  <c r="C159" i="4"/>
  <c r="C160" i="4"/>
  <c r="C161" i="4"/>
  <c r="C162" i="4"/>
  <c r="C163" i="4"/>
  <c r="C149" i="4"/>
  <c r="H141" i="4"/>
  <c r="I141" i="4"/>
  <c r="J141" i="4"/>
  <c r="H142" i="4"/>
  <c r="I142" i="4"/>
  <c r="J142" i="4"/>
  <c r="G142" i="4"/>
  <c r="G141" i="4"/>
  <c r="H138" i="4"/>
  <c r="I138" i="4"/>
  <c r="J138" i="4"/>
  <c r="H139" i="4"/>
  <c r="I139" i="4"/>
  <c r="J139" i="4"/>
  <c r="G139" i="4"/>
  <c r="G138" i="4"/>
  <c r="H131" i="4"/>
  <c r="I131" i="4"/>
  <c r="J131" i="4"/>
  <c r="H132" i="4"/>
  <c r="I132" i="4"/>
  <c r="J132" i="4"/>
  <c r="G132" i="4"/>
  <c r="G131" i="4"/>
  <c r="H123" i="4"/>
  <c r="I123" i="4"/>
  <c r="J123" i="4"/>
  <c r="H124" i="4"/>
  <c r="I124" i="4"/>
  <c r="J124" i="4"/>
  <c r="H125" i="4"/>
  <c r="I125" i="4"/>
  <c r="J125" i="4"/>
  <c r="H126" i="4"/>
  <c r="I126" i="4"/>
  <c r="J126" i="4"/>
  <c r="H127" i="4"/>
  <c r="I127" i="4"/>
  <c r="J127" i="4"/>
  <c r="H128" i="4"/>
  <c r="I128" i="4"/>
  <c r="J128" i="4"/>
  <c r="G124" i="4"/>
  <c r="G125" i="4"/>
  <c r="G126" i="4"/>
  <c r="G127" i="4"/>
  <c r="G128" i="4"/>
  <c r="G123" i="4"/>
  <c r="H121" i="4"/>
  <c r="I121" i="4"/>
  <c r="J121" i="4"/>
  <c r="G121" i="4"/>
  <c r="H118" i="4"/>
  <c r="I118" i="4"/>
  <c r="J118" i="4"/>
  <c r="G118" i="4"/>
  <c r="E145" i="4"/>
  <c r="F145" i="4"/>
  <c r="C145" i="4"/>
  <c r="D145" i="4"/>
  <c r="D141" i="4"/>
  <c r="E141" i="4"/>
  <c r="F141" i="4"/>
  <c r="D142" i="4"/>
  <c r="E142" i="4"/>
  <c r="F142" i="4"/>
  <c r="D143" i="4"/>
  <c r="E143" i="4"/>
  <c r="F143" i="4"/>
  <c r="C142" i="4"/>
  <c r="C143" i="4"/>
  <c r="E137" i="4"/>
  <c r="F137" i="4"/>
  <c r="E138" i="4"/>
  <c r="F138" i="4"/>
  <c r="E139" i="4"/>
  <c r="F139" i="4"/>
  <c r="E140" i="4"/>
  <c r="E14" i="9" s="1"/>
  <c r="F140" i="4"/>
  <c r="F14" i="9" s="1"/>
  <c r="D137" i="4"/>
  <c r="D138" i="4"/>
  <c r="D139" i="4"/>
  <c r="D140" i="4"/>
  <c r="D14" i="9" s="1"/>
  <c r="C138" i="4"/>
  <c r="C139" i="4"/>
  <c r="C140" i="4"/>
  <c r="C14" i="9" s="1"/>
  <c r="C141" i="4"/>
  <c r="C137" i="4"/>
  <c r="D124" i="4"/>
  <c r="E124" i="4"/>
  <c r="F124" i="4"/>
  <c r="D125" i="4"/>
  <c r="E125" i="4"/>
  <c r="F125" i="4"/>
  <c r="D126" i="4"/>
  <c r="E126" i="4"/>
  <c r="F126" i="4"/>
  <c r="D127" i="4"/>
  <c r="E127" i="4"/>
  <c r="F127" i="4"/>
  <c r="D128" i="4"/>
  <c r="E128" i="4"/>
  <c r="F128" i="4"/>
  <c r="D129" i="4"/>
  <c r="E129" i="4"/>
  <c r="F129" i="4"/>
  <c r="G129" i="4" s="1"/>
  <c r="H129" i="4" s="1"/>
  <c r="I129" i="4" s="1"/>
  <c r="J129" i="4" s="1"/>
  <c r="D130" i="4"/>
  <c r="E130" i="4"/>
  <c r="F130" i="4"/>
  <c r="D131" i="4"/>
  <c r="E131" i="4"/>
  <c r="F131" i="4"/>
  <c r="D132" i="4"/>
  <c r="E132" i="4"/>
  <c r="F132" i="4"/>
  <c r="D133" i="4"/>
  <c r="E133" i="4"/>
  <c r="F133" i="4"/>
  <c r="G133" i="4" s="1"/>
  <c r="H133" i="4" s="1"/>
  <c r="I133" i="4" s="1"/>
  <c r="J133" i="4" s="1"/>
  <c r="D134" i="4"/>
  <c r="E134" i="4"/>
  <c r="F134" i="4"/>
  <c r="G134" i="4" s="1"/>
  <c r="H134" i="4" s="1"/>
  <c r="I134" i="4" s="1"/>
  <c r="J134" i="4" s="1"/>
  <c r="C132" i="4"/>
  <c r="C133" i="4"/>
  <c r="C134" i="4"/>
  <c r="C131" i="4"/>
  <c r="C125" i="4"/>
  <c r="C126" i="4"/>
  <c r="C127" i="4"/>
  <c r="C128" i="4"/>
  <c r="C129" i="4"/>
  <c r="C130" i="4"/>
  <c r="C124" i="4"/>
  <c r="D115" i="4"/>
  <c r="E115" i="4"/>
  <c r="F115" i="4"/>
  <c r="G115" i="4" s="1"/>
  <c r="H115" i="4" s="1"/>
  <c r="I115" i="4" s="1"/>
  <c r="J115" i="4" s="1"/>
  <c r="D118" i="4"/>
  <c r="E118" i="4"/>
  <c r="F118" i="4"/>
  <c r="D119" i="4"/>
  <c r="E119" i="4"/>
  <c r="F119" i="4"/>
  <c r="G119" i="4" s="1"/>
  <c r="H119" i="4" s="1"/>
  <c r="I119" i="4" s="1"/>
  <c r="J119" i="4" s="1"/>
  <c r="D120" i="4"/>
  <c r="E120" i="4"/>
  <c r="F120" i="4"/>
  <c r="G120" i="4" s="1"/>
  <c r="H120" i="4" s="1"/>
  <c r="I120" i="4" s="1"/>
  <c r="J120" i="4" s="1"/>
  <c r="D121" i="4"/>
  <c r="E121" i="4"/>
  <c r="F121" i="4"/>
  <c r="D122" i="4"/>
  <c r="E122" i="4"/>
  <c r="F122" i="4"/>
  <c r="D123" i="4"/>
  <c r="E123" i="4"/>
  <c r="F123" i="4"/>
  <c r="C118" i="4"/>
  <c r="C119" i="4"/>
  <c r="C120" i="4"/>
  <c r="C121" i="4"/>
  <c r="C122" i="4"/>
  <c r="C123" i="4"/>
  <c r="C115" i="4"/>
  <c r="G104" i="4"/>
  <c r="H104" i="4"/>
  <c r="I104" i="4"/>
  <c r="J104" i="4"/>
  <c r="H103" i="4"/>
  <c r="I103" i="4"/>
  <c r="J103" i="4"/>
  <c r="G103" i="4"/>
  <c r="H101" i="4"/>
  <c r="I101" i="4"/>
  <c r="J101" i="4"/>
  <c r="G101" i="4"/>
  <c r="H100" i="4"/>
  <c r="I100" i="4"/>
  <c r="J100" i="4"/>
  <c r="G100" i="4"/>
  <c r="D104" i="4"/>
  <c r="E104" i="4"/>
  <c r="F104" i="4"/>
  <c r="C104" i="4"/>
  <c r="D100" i="4"/>
  <c r="E100" i="4"/>
  <c r="D101" i="4"/>
  <c r="E101" i="4"/>
  <c r="D102" i="4"/>
  <c r="E102" i="4"/>
  <c r="D103" i="4"/>
  <c r="E103" i="4"/>
  <c r="C101" i="4"/>
  <c r="C102" i="4"/>
  <c r="C103" i="4"/>
  <c r="C100" i="4"/>
  <c r="H94" i="4"/>
  <c r="I94" i="4"/>
  <c r="J94" i="4"/>
  <c r="H95" i="4"/>
  <c r="I95" i="4"/>
  <c r="J95" i="4"/>
  <c r="H96" i="4"/>
  <c r="I96" i="4"/>
  <c r="J96" i="4"/>
  <c r="G95" i="4"/>
  <c r="G96" i="4"/>
  <c r="G94" i="4"/>
  <c r="H92" i="4"/>
  <c r="H97" i="4" s="1"/>
  <c r="I92" i="4"/>
  <c r="I97" i="4" s="1"/>
  <c r="J92" i="4"/>
  <c r="J97" i="4" s="1"/>
  <c r="G92" i="4"/>
  <c r="G97" i="4" s="1"/>
  <c r="D92" i="4"/>
  <c r="E92" i="4"/>
  <c r="F92" i="4"/>
  <c r="D93" i="4"/>
  <c r="E93" i="4"/>
  <c r="F93" i="4"/>
  <c r="D94" i="4"/>
  <c r="E94" i="4"/>
  <c r="F94" i="4"/>
  <c r="D95" i="4"/>
  <c r="E95" i="4"/>
  <c r="F95" i="4"/>
  <c r="D96" i="4"/>
  <c r="E96" i="4"/>
  <c r="F96" i="4"/>
  <c r="C93" i="4"/>
  <c r="C94" i="4"/>
  <c r="C95" i="4"/>
  <c r="C96" i="4"/>
  <c r="C92" i="4"/>
  <c r="H86" i="4"/>
  <c r="I86" i="4"/>
  <c r="J86" i="4"/>
  <c r="G86" i="4"/>
  <c r="D86" i="4"/>
  <c r="E86" i="4"/>
  <c r="F86" i="4"/>
  <c r="D87" i="4"/>
  <c r="E87" i="4"/>
  <c r="F87" i="4"/>
  <c r="D88" i="4"/>
  <c r="E88" i="4"/>
  <c r="F88" i="4"/>
  <c r="G88" i="4" s="1"/>
  <c r="H88" i="4" s="1"/>
  <c r="I88" i="4" s="1"/>
  <c r="J88" i="4" s="1"/>
  <c r="C87" i="4"/>
  <c r="C88" i="4"/>
  <c r="C86" i="4"/>
  <c r="H80" i="4"/>
  <c r="I80" i="4"/>
  <c r="J80" i="4"/>
  <c r="G80" i="4"/>
  <c r="H77" i="4"/>
  <c r="I77" i="4"/>
  <c r="J77" i="4"/>
  <c r="H79" i="4"/>
  <c r="I79" i="4"/>
  <c r="J79" i="4"/>
  <c r="G79" i="4"/>
  <c r="G77" i="4"/>
  <c r="H74" i="4"/>
  <c r="I74" i="4"/>
  <c r="J74" i="4"/>
  <c r="G74" i="4"/>
  <c r="C74" i="4"/>
  <c r="D74" i="4"/>
  <c r="E74" i="4"/>
  <c r="F74" i="4"/>
  <c r="C75" i="4"/>
  <c r="D75" i="4"/>
  <c r="E75" i="4"/>
  <c r="F75" i="4"/>
  <c r="C76" i="4"/>
  <c r="D76" i="4"/>
  <c r="E76" i="4"/>
  <c r="F76" i="4"/>
  <c r="H48" i="5" s="1"/>
  <c r="C77" i="4"/>
  <c r="D77" i="4"/>
  <c r="E77" i="4"/>
  <c r="F77" i="4"/>
  <c r="C78" i="4"/>
  <c r="D78" i="4"/>
  <c r="E78" i="4"/>
  <c r="F78" i="4"/>
  <c r="C79" i="4"/>
  <c r="D79" i="4"/>
  <c r="E79" i="4"/>
  <c r="F79" i="4"/>
  <c r="D73" i="4"/>
  <c r="E73" i="4"/>
  <c r="F73" i="4"/>
  <c r="C73" i="4"/>
  <c r="H69" i="4"/>
  <c r="I69" i="4"/>
  <c r="J69" i="4"/>
  <c r="G69" i="4"/>
  <c r="H68" i="4"/>
  <c r="I68" i="4"/>
  <c r="J68" i="4"/>
  <c r="G68" i="4"/>
  <c r="H67" i="4"/>
  <c r="I67" i="4"/>
  <c r="J67" i="4"/>
  <c r="G67" i="4"/>
  <c r="H63" i="4"/>
  <c r="I63" i="4"/>
  <c r="J63" i="4"/>
  <c r="G63" i="4"/>
  <c r="H62" i="4"/>
  <c r="I62" i="4"/>
  <c r="J62" i="4"/>
  <c r="G62" i="4"/>
  <c r="D61" i="4"/>
  <c r="E61" i="4"/>
  <c r="F61" i="4"/>
  <c r="G61" i="4" s="1"/>
  <c r="D62" i="4"/>
  <c r="E62" i="4"/>
  <c r="F62" i="4"/>
  <c r="D63" i="4"/>
  <c r="E63" i="4"/>
  <c r="F63" i="4"/>
  <c r="D64" i="4"/>
  <c r="E64" i="4"/>
  <c r="F64" i="4"/>
  <c r="G64" i="4" s="1"/>
  <c r="H64" i="4" s="1"/>
  <c r="I64" i="4" s="1"/>
  <c r="J64" i="4" s="1"/>
  <c r="D65" i="4"/>
  <c r="E65" i="4"/>
  <c r="F65" i="4"/>
  <c r="G65" i="4" s="1"/>
  <c r="H65" i="4" s="1"/>
  <c r="I65" i="4" s="1"/>
  <c r="J65" i="4" s="1"/>
  <c r="D66" i="4"/>
  <c r="E66" i="4"/>
  <c r="F66" i="4"/>
  <c r="D67" i="4"/>
  <c r="E67" i="4"/>
  <c r="F67" i="4"/>
  <c r="D68" i="4"/>
  <c r="E68" i="4"/>
  <c r="F68" i="4"/>
  <c r="D69" i="4"/>
  <c r="E69" i="4"/>
  <c r="F69" i="4"/>
  <c r="C62" i="4"/>
  <c r="C63" i="4"/>
  <c r="C64" i="4"/>
  <c r="C65" i="4"/>
  <c r="C66" i="4"/>
  <c r="C67" i="4"/>
  <c r="C68" i="4"/>
  <c r="C69" i="4"/>
  <c r="C61" i="4"/>
  <c r="E12" i="3"/>
  <c r="D12" i="3"/>
  <c r="C12" i="3"/>
  <c r="E11" i="3"/>
  <c r="D11" i="3"/>
  <c r="E8" i="3"/>
  <c r="D8" i="3"/>
  <c r="C8" i="3"/>
  <c r="E7" i="3"/>
  <c r="E10" i="3" s="1"/>
  <c r="D7" i="3"/>
  <c r="C7" i="3"/>
  <c r="C10" i="3" s="1"/>
  <c r="D123" i="7"/>
  <c r="D118" i="7"/>
  <c r="D113" i="7"/>
  <c r="D108" i="7"/>
  <c r="D97" i="7"/>
  <c r="D92" i="7"/>
  <c r="D80" i="7"/>
  <c r="D75" i="7"/>
  <c r="D68" i="7"/>
  <c r="D63" i="7"/>
  <c r="D58" i="7"/>
  <c r="D53" i="7"/>
  <c r="D43" i="7"/>
  <c r="D38" i="7"/>
  <c r="D31" i="7"/>
  <c r="D26" i="7"/>
  <c r="D21" i="7"/>
  <c r="D16" i="7"/>
  <c r="K161" i="1"/>
  <c r="L161" i="1"/>
  <c r="D105" i="1"/>
  <c r="D81" i="4" s="1"/>
  <c r="E105" i="1"/>
  <c r="E81" i="4" s="1"/>
  <c r="F105" i="1"/>
  <c r="F81" i="4" s="1"/>
  <c r="C105" i="1"/>
  <c r="C81" i="4" s="1"/>
  <c r="D94" i="1"/>
  <c r="D70" i="4" s="1"/>
  <c r="E94" i="1"/>
  <c r="E70" i="4" s="1"/>
  <c r="F94" i="1"/>
  <c r="F70" i="4" s="1"/>
  <c r="C94" i="1"/>
  <c r="C70" i="4" s="1"/>
  <c r="K94" i="1"/>
  <c r="L94" i="1"/>
  <c r="M94" i="1"/>
  <c r="D113" i="1"/>
  <c r="E113" i="1"/>
  <c r="F113" i="1"/>
  <c r="C113" i="1"/>
  <c r="E54" i="3"/>
  <c r="I27" i="11" s="1"/>
  <c r="F54" i="3"/>
  <c r="J27" i="11" s="1"/>
  <c r="D21" i="3"/>
  <c r="E21" i="3"/>
  <c r="F21" i="3"/>
  <c r="F40" i="3"/>
  <c r="E40" i="3"/>
  <c r="D40" i="3"/>
  <c r="D39" i="3"/>
  <c r="E39" i="3"/>
  <c r="F39" i="3"/>
  <c r="D55" i="4"/>
  <c r="F45" i="5" s="1"/>
  <c r="E55" i="4"/>
  <c r="G45" i="5" s="1"/>
  <c r="F55" i="4"/>
  <c r="H45" i="5" s="1"/>
  <c r="C55" i="4"/>
  <c r="E45" i="5" s="1"/>
  <c r="D53" i="4"/>
  <c r="E53" i="4"/>
  <c r="F53" i="4"/>
  <c r="C53" i="4"/>
  <c r="C50" i="4"/>
  <c r="D50" i="4"/>
  <c r="E50" i="4"/>
  <c r="F50" i="4"/>
  <c r="D49" i="4"/>
  <c r="E49" i="4"/>
  <c r="E51" i="4" s="1"/>
  <c r="F49" i="4"/>
  <c r="F51" i="4" s="1"/>
  <c r="C49" i="4"/>
  <c r="D45" i="4"/>
  <c r="F42" i="5" s="1"/>
  <c r="E45" i="4"/>
  <c r="G42" i="5" s="1"/>
  <c r="F45" i="4"/>
  <c r="H42" i="5" s="1"/>
  <c r="C45" i="4"/>
  <c r="E42" i="5" s="1"/>
  <c r="H42" i="4"/>
  <c r="I42" i="4"/>
  <c r="J42" i="4"/>
  <c r="G42" i="4"/>
  <c r="D43" i="4"/>
  <c r="E43" i="4"/>
  <c r="F43" i="4"/>
  <c r="D42" i="4"/>
  <c r="E42" i="4"/>
  <c r="F42" i="4"/>
  <c r="C43" i="4"/>
  <c r="C42" i="4"/>
  <c r="H33" i="4"/>
  <c r="I33" i="4"/>
  <c r="J33" i="4"/>
  <c r="H34" i="4"/>
  <c r="H117" i="4" s="1"/>
  <c r="I34" i="4"/>
  <c r="I117" i="4" s="1"/>
  <c r="J34" i="4"/>
  <c r="J117" i="4" s="1"/>
  <c r="H35" i="4"/>
  <c r="I35" i="4"/>
  <c r="J35" i="4"/>
  <c r="G34" i="4"/>
  <c r="G117" i="4" s="1"/>
  <c r="G35" i="4"/>
  <c r="G33" i="4"/>
  <c r="G116" i="4" s="1"/>
  <c r="D33" i="4"/>
  <c r="E33" i="4"/>
  <c r="F33" i="4"/>
  <c r="D34" i="4"/>
  <c r="D117" i="4" s="1"/>
  <c r="E34" i="4"/>
  <c r="E117" i="4" s="1"/>
  <c r="F34" i="4"/>
  <c r="F117" i="4" s="1"/>
  <c r="D35" i="4"/>
  <c r="E35" i="4"/>
  <c r="F35" i="4"/>
  <c r="C34" i="4"/>
  <c r="C117" i="4" s="1"/>
  <c r="C35" i="4"/>
  <c r="C33" i="4"/>
  <c r="G29" i="4"/>
  <c r="H29" i="4"/>
  <c r="I29" i="4"/>
  <c r="J29" i="4"/>
  <c r="D27" i="4"/>
  <c r="E27" i="4"/>
  <c r="F27" i="4"/>
  <c r="C27" i="4"/>
  <c r="E39" i="5" s="1"/>
  <c r="C24" i="4"/>
  <c r="D24" i="4"/>
  <c r="E24" i="4"/>
  <c r="F24" i="4"/>
  <c r="D23" i="4"/>
  <c r="E23" i="4"/>
  <c r="F23" i="4"/>
  <c r="C23" i="4"/>
  <c r="D21" i="4"/>
  <c r="E21" i="4"/>
  <c r="F21" i="4"/>
  <c r="D22" i="4"/>
  <c r="E22" i="4"/>
  <c r="F22" i="4"/>
  <c r="C22" i="4"/>
  <c r="C21" i="4"/>
  <c r="C19" i="4"/>
  <c r="D19" i="4"/>
  <c r="E19" i="4"/>
  <c r="F19" i="4"/>
  <c r="C20" i="4"/>
  <c r="D20" i="4"/>
  <c r="E20" i="4"/>
  <c r="F20" i="4"/>
  <c r="D18" i="4"/>
  <c r="D13" i="9" s="1"/>
  <c r="E18" i="4"/>
  <c r="E13" i="9" s="1"/>
  <c r="F18" i="4"/>
  <c r="F13" i="9" s="1"/>
  <c r="F29" i="9" s="1"/>
  <c r="C18" i="4"/>
  <c r="C13" i="9" s="1"/>
  <c r="H14" i="4"/>
  <c r="I14" i="4"/>
  <c r="J14" i="4"/>
  <c r="G14" i="4"/>
  <c r="D14" i="4"/>
  <c r="E14" i="4"/>
  <c r="F14" i="4"/>
  <c r="C14" i="4"/>
  <c r="D12" i="4"/>
  <c r="C72" i="10" s="1"/>
  <c r="E12" i="4"/>
  <c r="D72" i="10" s="1"/>
  <c r="F12" i="4"/>
  <c r="E72" i="10" s="1"/>
  <c r="C12" i="4"/>
  <c r="D8" i="4"/>
  <c r="E8" i="4"/>
  <c r="F8" i="4"/>
  <c r="D9" i="4"/>
  <c r="E9" i="4"/>
  <c r="F9" i="4"/>
  <c r="D10" i="4"/>
  <c r="E10" i="4"/>
  <c r="F10" i="4"/>
  <c r="D11" i="4"/>
  <c r="E11" i="4"/>
  <c r="F11" i="4"/>
  <c r="C11" i="4"/>
  <c r="C8" i="4"/>
  <c r="H59" i="6"/>
  <c r="H12" i="4" s="1"/>
  <c r="G72" i="10" s="1"/>
  <c r="I59" i="6"/>
  <c r="I12" i="4" s="1"/>
  <c r="H72" i="10" s="1"/>
  <c r="D14" i="11" s="1"/>
  <c r="J59" i="6"/>
  <c r="J12" i="4" s="1"/>
  <c r="I72" i="10" s="1"/>
  <c r="G59" i="6"/>
  <c r="G12" i="4" s="1"/>
  <c r="F72" i="10" s="1"/>
  <c r="F53" i="6"/>
  <c r="E59" i="10" s="1"/>
  <c r="D56" i="6"/>
  <c r="E56" i="6"/>
  <c r="F56" i="6"/>
  <c r="C56" i="6"/>
  <c r="D55" i="6"/>
  <c r="E55" i="6"/>
  <c r="F55" i="6"/>
  <c r="C55" i="6"/>
  <c r="D54" i="6"/>
  <c r="E54" i="6"/>
  <c r="F54" i="6"/>
  <c r="E60" i="10" s="1"/>
  <c r="C54" i="6"/>
  <c r="D52" i="6"/>
  <c r="E52" i="6"/>
  <c r="F52" i="6"/>
  <c r="E58" i="10" s="1"/>
  <c r="C52" i="6"/>
  <c r="D49" i="6"/>
  <c r="E49" i="6"/>
  <c r="F49" i="6"/>
  <c r="E53" i="10" s="1"/>
  <c r="C49" i="6"/>
  <c r="D48" i="6"/>
  <c r="E48" i="6"/>
  <c r="F48" i="6"/>
  <c r="E52" i="10" s="1"/>
  <c r="C48" i="6"/>
  <c r="D47" i="6"/>
  <c r="E47" i="6"/>
  <c r="F47" i="6"/>
  <c r="E49" i="10" s="1"/>
  <c r="C47" i="6"/>
  <c r="D46" i="6"/>
  <c r="E46" i="6"/>
  <c r="F46" i="6"/>
  <c r="E48" i="10" s="1"/>
  <c r="E70" i="10" s="1"/>
  <c r="C46" i="6"/>
  <c r="E42" i="6"/>
  <c r="F42" i="6"/>
  <c r="D42" i="6"/>
  <c r="H41" i="6"/>
  <c r="I41" i="6"/>
  <c r="J41" i="6"/>
  <c r="G41" i="6"/>
  <c r="E36" i="6"/>
  <c r="F36" i="6"/>
  <c r="D36" i="6"/>
  <c r="E34" i="6"/>
  <c r="F34" i="6"/>
  <c r="D34" i="6"/>
  <c r="F29" i="6"/>
  <c r="D27" i="6"/>
  <c r="E28" i="6"/>
  <c r="F28" i="6"/>
  <c r="E26" i="10" s="1"/>
  <c r="E27" i="6"/>
  <c r="F27" i="6"/>
  <c r="E25" i="10" s="1"/>
  <c r="C21" i="6"/>
  <c r="D22" i="6"/>
  <c r="E22" i="6"/>
  <c r="F22" i="6"/>
  <c r="C22" i="6"/>
  <c r="D21" i="6"/>
  <c r="E21" i="6"/>
  <c r="F21" i="6"/>
  <c r="D18" i="6"/>
  <c r="E18" i="6"/>
  <c r="F18" i="6"/>
  <c r="C18" i="6"/>
  <c r="E17" i="6"/>
  <c r="F17" i="6"/>
  <c r="D17" i="6"/>
  <c r="D14" i="6"/>
  <c r="E14" i="6"/>
  <c r="F14" i="6"/>
  <c r="G14" i="6" s="1"/>
  <c r="H14" i="6" s="1"/>
  <c r="I14" i="6" s="1"/>
  <c r="J14" i="6" s="1"/>
  <c r="C14" i="6"/>
  <c r="D13" i="6"/>
  <c r="E13" i="6"/>
  <c r="F13" i="6"/>
  <c r="G13" i="6" s="1"/>
  <c r="H13" i="6" s="1"/>
  <c r="I13" i="6" s="1"/>
  <c r="J13" i="6" s="1"/>
  <c r="C13" i="6"/>
  <c r="D12" i="6"/>
  <c r="E12" i="6"/>
  <c r="F12" i="6"/>
  <c r="C12" i="6"/>
  <c r="D11" i="6"/>
  <c r="E11" i="6"/>
  <c r="F11" i="6"/>
  <c r="C11" i="6"/>
  <c r="D10" i="6"/>
  <c r="E10" i="6"/>
  <c r="F10" i="6"/>
  <c r="C10" i="6"/>
  <c r="D7" i="6"/>
  <c r="D9" i="6" s="1"/>
  <c r="E7" i="6"/>
  <c r="E9" i="6" s="1"/>
  <c r="F7" i="6"/>
  <c r="E130" i="7"/>
  <c r="F130" i="7"/>
  <c r="G130" i="7"/>
  <c r="H130" i="7"/>
  <c r="D130" i="7"/>
  <c r="B4" i="7"/>
  <c r="E113" i="7" s="1"/>
  <c r="D203" i="1"/>
  <c r="D174" i="4" s="1"/>
  <c r="E203" i="1"/>
  <c r="E174" i="4" s="1"/>
  <c r="F203" i="1"/>
  <c r="F174" i="4" s="1"/>
  <c r="C203" i="1"/>
  <c r="C174" i="4" s="1"/>
  <c r="D193" i="1"/>
  <c r="D164" i="4" s="1"/>
  <c r="E193" i="1"/>
  <c r="E164" i="4" s="1"/>
  <c r="F193" i="1"/>
  <c r="F164" i="4" s="1"/>
  <c r="C193" i="1"/>
  <c r="C164" i="4" s="1"/>
  <c r="D172" i="1"/>
  <c r="E172" i="1"/>
  <c r="F172" i="1"/>
  <c r="C172" i="1"/>
  <c r="C130" i="1"/>
  <c r="D130" i="1"/>
  <c r="E130" i="1"/>
  <c r="F130" i="1"/>
  <c r="D121" i="1"/>
  <c r="E121" i="1"/>
  <c r="F121" i="1"/>
  <c r="C121" i="1"/>
  <c r="D107" i="1"/>
  <c r="F46" i="5" s="1"/>
  <c r="E107" i="1"/>
  <c r="G46" i="5" s="1"/>
  <c r="F107" i="1"/>
  <c r="H46" i="5" s="1"/>
  <c r="C107" i="1"/>
  <c r="E46" i="5" s="1"/>
  <c r="D29" i="1"/>
  <c r="E29" i="1"/>
  <c r="F29" i="1"/>
  <c r="C29" i="1"/>
  <c r="D12" i="1"/>
  <c r="E12" i="1"/>
  <c r="F12" i="1"/>
  <c r="C12" i="1"/>
  <c r="F179" i="4" l="1"/>
  <c r="G48" i="5"/>
  <c r="E179" i="4"/>
  <c r="F48" i="5"/>
  <c r="D179" i="4"/>
  <c r="E48" i="5"/>
  <c r="C7" i="4"/>
  <c r="C7" i="9" s="1"/>
  <c r="C43" i="8"/>
  <c r="C42" i="8"/>
  <c r="C41" i="8"/>
  <c r="C37" i="8"/>
  <c r="C36" i="8"/>
  <c r="C30" i="8"/>
  <c r="C29" i="8"/>
  <c r="C28" i="8"/>
  <c r="C26" i="8"/>
  <c r="C6" i="8"/>
  <c r="C63" i="6" s="1"/>
  <c r="E37" i="5"/>
  <c r="C77" i="1"/>
  <c r="C19" i="8" s="1"/>
  <c r="C69" i="1"/>
  <c r="C17" i="8" s="1"/>
  <c r="C23" i="1"/>
  <c r="F7" i="4"/>
  <c r="C15" i="2"/>
  <c r="F42" i="8"/>
  <c r="F43" i="8"/>
  <c r="F41" i="8"/>
  <c r="F37" i="8"/>
  <c r="F36" i="8"/>
  <c r="F30" i="8"/>
  <c r="F29" i="8"/>
  <c r="F28" i="8"/>
  <c r="F26" i="8"/>
  <c r="F6" i="8"/>
  <c r="H37" i="5"/>
  <c r="F77" i="1"/>
  <c r="F19" i="8" s="1"/>
  <c r="F69" i="1"/>
  <c r="F17" i="8" s="1"/>
  <c r="F23" i="1"/>
  <c r="E7" i="4"/>
  <c r="E42" i="8"/>
  <c r="E43" i="8"/>
  <c r="E41" i="8"/>
  <c r="E37" i="8"/>
  <c r="E36" i="8"/>
  <c r="E30" i="8"/>
  <c r="E29" i="8"/>
  <c r="E28" i="8"/>
  <c r="E26" i="8"/>
  <c r="E6" i="8"/>
  <c r="G37" i="5"/>
  <c r="E77" i="1"/>
  <c r="E19" i="8" s="1"/>
  <c r="E69" i="1"/>
  <c r="E17" i="8" s="1"/>
  <c r="E23" i="1"/>
  <c r="D42" i="8"/>
  <c r="D43" i="8"/>
  <c r="D41" i="8"/>
  <c r="D37" i="8"/>
  <c r="D36" i="8"/>
  <c r="D30" i="8"/>
  <c r="D29" i="8"/>
  <c r="D28" i="8"/>
  <c r="D26" i="8"/>
  <c r="D6" i="8"/>
  <c r="F37" i="5"/>
  <c r="D77" i="1"/>
  <c r="D19" i="8" s="1"/>
  <c r="D69" i="1"/>
  <c r="D17" i="8" s="1"/>
  <c r="D23" i="1"/>
  <c r="C25" i="8"/>
  <c r="C27" i="8" s="1"/>
  <c r="F25" i="8"/>
  <c r="F27" i="8" s="1"/>
  <c r="E25" i="8"/>
  <c r="E27" i="8" s="1"/>
  <c r="D25" i="8"/>
  <c r="D27" i="8" s="1"/>
  <c r="C97" i="4"/>
  <c r="C50" i="8"/>
  <c r="F97" i="4"/>
  <c r="F50" i="8"/>
  <c r="E97" i="4"/>
  <c r="E50" i="8"/>
  <c r="D97" i="4"/>
  <c r="D50" i="8"/>
  <c r="C66" i="6"/>
  <c r="C68" i="6"/>
  <c r="F25" i="4"/>
  <c r="F36" i="9" s="1"/>
  <c r="F20" i="9"/>
  <c r="F15" i="9"/>
  <c r="F30" i="9" s="1"/>
  <c r="E25" i="4"/>
  <c r="E20" i="9"/>
  <c r="E15" i="9"/>
  <c r="D25" i="4"/>
  <c r="D15" i="9"/>
  <c r="C25" i="4"/>
  <c r="C20" i="9"/>
  <c r="C15" i="9"/>
  <c r="C22" i="9"/>
  <c r="C29" i="4"/>
  <c r="C23" i="9"/>
  <c r="F29" i="4"/>
  <c r="F23" i="9"/>
  <c r="F33" i="9"/>
  <c r="E29" i="4"/>
  <c r="E23" i="9"/>
  <c r="D29" i="4"/>
  <c r="F22" i="9"/>
  <c r="F32" i="9"/>
  <c r="E22" i="9"/>
  <c r="C21" i="9"/>
  <c r="F21" i="9"/>
  <c r="F34" i="9"/>
  <c r="E21" i="9"/>
  <c r="F24" i="9"/>
  <c r="F35" i="9"/>
  <c r="E24" i="9"/>
  <c r="C24" i="9"/>
  <c r="E73" i="10"/>
  <c r="F37" i="9"/>
  <c r="C17" i="2"/>
  <c r="H39" i="5"/>
  <c r="D73" i="10"/>
  <c r="G39" i="5"/>
  <c r="F39" i="5"/>
  <c r="C73" i="10"/>
  <c r="C113" i="4"/>
  <c r="E43" i="5"/>
  <c r="F113" i="4"/>
  <c r="C19" i="2"/>
  <c r="H43" i="5"/>
  <c r="E113" i="4"/>
  <c r="G43" i="5"/>
  <c r="D113" i="4"/>
  <c r="F43" i="5"/>
  <c r="C89" i="4"/>
  <c r="E47" i="5" s="1"/>
  <c r="C34" i="8"/>
  <c r="C22" i="8"/>
  <c r="F89" i="4"/>
  <c r="H47" i="5" s="1"/>
  <c r="F34" i="8"/>
  <c r="F22" i="8"/>
  <c r="E89" i="4"/>
  <c r="G47" i="5" s="1"/>
  <c r="E34" i="8"/>
  <c r="E22" i="8"/>
  <c r="D89" i="4"/>
  <c r="F47" i="5" s="1"/>
  <c r="D34" i="8"/>
  <c r="D22" i="8"/>
  <c r="C69" i="6"/>
  <c r="C70" i="6" s="1"/>
  <c r="C10" i="8"/>
  <c r="C38" i="8" s="1"/>
  <c r="C61" i="1"/>
  <c r="C59" i="1"/>
  <c r="C43" i="1"/>
  <c r="C11" i="8" s="1"/>
  <c r="F69" i="6"/>
  <c r="F10" i="8"/>
  <c r="F38" i="8" s="1"/>
  <c r="F61" i="1"/>
  <c r="F59" i="1"/>
  <c r="F43" i="1"/>
  <c r="F11" i="8" s="1"/>
  <c r="E69" i="6"/>
  <c r="E10" i="8"/>
  <c r="E38" i="8" s="1"/>
  <c r="E61" i="1"/>
  <c r="E59" i="1"/>
  <c r="E43" i="1"/>
  <c r="E11" i="8" s="1"/>
  <c r="C31" i="8"/>
  <c r="F31" i="8"/>
  <c r="E31" i="8"/>
  <c r="D31" i="8"/>
  <c r="C68" i="8"/>
  <c r="F71" i="8"/>
  <c r="F65" i="8"/>
  <c r="E71" i="8"/>
  <c r="F64" i="8"/>
  <c r="E64" i="8"/>
  <c r="D64" i="8"/>
  <c r="F69" i="8"/>
  <c r="F63" i="8"/>
  <c r="E69" i="8"/>
  <c r="E63" i="8"/>
  <c r="D69" i="8"/>
  <c r="F68" i="8"/>
  <c r="F62" i="8"/>
  <c r="E68" i="8"/>
  <c r="E62" i="8"/>
  <c r="D68" i="8"/>
  <c r="D62" i="8"/>
  <c r="C81" i="8"/>
  <c r="F81" i="8"/>
  <c r="E81" i="8"/>
  <c r="D81" i="8"/>
  <c r="F84" i="8"/>
  <c r="E84" i="8"/>
  <c r="F83" i="8"/>
  <c r="E83" i="8"/>
  <c r="D83" i="8"/>
  <c r="C83" i="8"/>
  <c r="F82" i="8"/>
  <c r="E82" i="8"/>
  <c r="D82" i="8"/>
  <c r="J11" i="11"/>
  <c r="I11" i="11"/>
  <c r="H11" i="11"/>
  <c r="J13" i="11"/>
  <c r="I13" i="11"/>
  <c r="H13" i="11"/>
  <c r="J14" i="11"/>
  <c r="I14" i="11"/>
  <c r="H14" i="11"/>
  <c r="D10" i="3"/>
  <c r="E71" i="10"/>
  <c r="E61" i="10"/>
  <c r="D8" i="10"/>
  <c r="D10" i="8"/>
  <c r="D61" i="1"/>
  <c r="D59" i="1"/>
  <c r="D43" i="1"/>
  <c r="D11" i="8" s="1"/>
  <c r="F38" i="5"/>
  <c r="H38" i="5"/>
  <c r="J116" i="4"/>
  <c r="I116" i="4"/>
  <c r="H116" i="4"/>
  <c r="C36" i="4"/>
  <c r="C38" i="4" s="1"/>
  <c r="E41" i="5" s="1"/>
  <c r="C116" i="4"/>
  <c r="F116" i="4"/>
  <c r="E116" i="4"/>
  <c r="D116" i="4"/>
  <c r="G179" i="4"/>
  <c r="E50" i="3"/>
  <c r="I22" i="11" s="1"/>
  <c r="F50" i="3"/>
  <c r="J22" i="11" s="1"/>
  <c r="D50" i="3"/>
  <c r="H22" i="11" s="1"/>
  <c r="E51" i="3"/>
  <c r="I23" i="11" s="1"/>
  <c r="F51" i="3"/>
  <c r="J23" i="11" s="1"/>
  <c r="D51" i="3"/>
  <c r="H23" i="11" s="1"/>
  <c r="F105" i="4"/>
  <c r="F106" i="4"/>
  <c r="E105" i="4"/>
  <c r="E106" i="4"/>
  <c r="D105" i="4"/>
  <c r="D106" i="4"/>
  <c r="C106" i="4"/>
  <c r="C105" i="4"/>
  <c r="C161" i="1"/>
  <c r="C135" i="4" s="1"/>
  <c r="F161" i="1"/>
  <c r="F135" i="4" s="1"/>
  <c r="E161" i="1"/>
  <c r="E135" i="4" s="1"/>
  <c r="D161" i="1"/>
  <c r="D135" i="4" s="1"/>
  <c r="C173" i="1"/>
  <c r="F173" i="1"/>
  <c r="E173" i="1"/>
  <c r="D173" i="1"/>
  <c r="G164" i="4"/>
  <c r="J164" i="4"/>
  <c r="I164" i="4"/>
  <c r="H164" i="4"/>
  <c r="G172" i="4"/>
  <c r="G130" i="4"/>
  <c r="J172" i="4"/>
  <c r="J130" i="4"/>
  <c r="I172" i="4"/>
  <c r="I130" i="4"/>
  <c r="H172" i="4"/>
  <c r="H130" i="4"/>
  <c r="G174" i="4"/>
  <c r="J174" i="4"/>
  <c r="I174" i="4"/>
  <c r="H174" i="4"/>
  <c r="H61" i="4"/>
  <c r="C132" i="1"/>
  <c r="C107" i="4" s="1"/>
  <c r="C109" i="4" s="1"/>
  <c r="C16" i="1"/>
  <c r="C15" i="4"/>
  <c r="D16" i="1"/>
  <c r="D7" i="4"/>
  <c r="G36" i="4"/>
  <c r="C46" i="4"/>
  <c r="F46" i="4"/>
  <c r="E46" i="4"/>
  <c r="D46" i="4"/>
  <c r="C54" i="4"/>
  <c r="E44" i="5" s="1"/>
  <c r="F54" i="4"/>
  <c r="H44" i="5" s="1"/>
  <c r="E54" i="4"/>
  <c r="G44" i="5" s="1"/>
  <c r="D54" i="4"/>
  <c r="F44" i="5" s="1"/>
  <c r="F15" i="4"/>
  <c r="F13" i="4"/>
  <c r="F8" i="9" s="1"/>
  <c r="E15" i="4"/>
  <c r="E13" i="4"/>
  <c r="E8" i="9" s="1"/>
  <c r="D15" i="4"/>
  <c r="D13" i="4"/>
  <c r="D8" i="9" s="1"/>
  <c r="C30" i="4"/>
  <c r="C39" i="4" s="1"/>
  <c r="C28" i="4"/>
  <c r="E40" i="5" s="1"/>
  <c r="F30" i="4"/>
  <c r="F28" i="4"/>
  <c r="E30" i="4"/>
  <c r="E28" i="4"/>
  <c r="D30" i="4"/>
  <c r="D28" i="4"/>
  <c r="F36" i="4"/>
  <c r="F38" i="4" s="1"/>
  <c r="H41" i="5" s="1"/>
  <c r="E36" i="4"/>
  <c r="E38" i="4" s="1"/>
  <c r="G41" i="5" s="1"/>
  <c r="D36" i="4"/>
  <c r="D38" i="4" s="1"/>
  <c r="F41" i="5" s="1"/>
  <c r="J36" i="4"/>
  <c r="I36" i="4"/>
  <c r="H36" i="4"/>
  <c r="F63" i="6"/>
  <c r="F70" i="6" s="1"/>
  <c r="E63" i="6"/>
  <c r="D63" i="6"/>
  <c r="D70" i="6" s="1"/>
  <c r="D67" i="6"/>
  <c r="F67" i="6"/>
  <c r="E67" i="6"/>
  <c r="F68" i="6"/>
  <c r="E68" i="6"/>
  <c r="D68" i="6"/>
  <c r="F30" i="6"/>
  <c r="F9" i="6"/>
  <c r="F16" i="7"/>
  <c r="H17" i="6" s="1"/>
  <c r="G10" i="10" s="1"/>
  <c r="G16" i="7"/>
  <c r="I17" i="6" s="1"/>
  <c r="H10" i="10" s="1"/>
  <c r="H16" i="7"/>
  <c r="J17" i="6" s="1"/>
  <c r="I10" i="10" s="1"/>
  <c r="E16" i="7"/>
  <c r="G17" i="6" s="1"/>
  <c r="F10" i="10" s="1"/>
  <c r="H123" i="7"/>
  <c r="F123" i="7"/>
  <c r="G123" i="7"/>
  <c r="E123" i="7"/>
  <c r="F118" i="7"/>
  <c r="G118" i="7"/>
  <c r="H118" i="7"/>
  <c r="E118" i="7"/>
  <c r="G113" i="7"/>
  <c r="H113" i="7"/>
  <c r="F108" i="7"/>
  <c r="G108" i="7"/>
  <c r="H108" i="7"/>
  <c r="E108" i="7"/>
  <c r="F97" i="7"/>
  <c r="H55" i="6" s="1"/>
  <c r="G97" i="7"/>
  <c r="I55" i="6" s="1"/>
  <c r="H97" i="7"/>
  <c r="J55" i="6" s="1"/>
  <c r="E97" i="7"/>
  <c r="G55" i="6" s="1"/>
  <c r="F92" i="7"/>
  <c r="H53" i="6" s="1"/>
  <c r="G59" i="10" s="1"/>
  <c r="G92" i="7"/>
  <c r="I53" i="6" s="1"/>
  <c r="H59" i="10" s="1"/>
  <c r="H92" i="7"/>
  <c r="J53" i="6" s="1"/>
  <c r="I59" i="10" s="1"/>
  <c r="E92" i="7"/>
  <c r="G53" i="6" s="1"/>
  <c r="F59" i="10" s="1"/>
  <c r="F87" i="7"/>
  <c r="G87" i="7"/>
  <c r="H87" i="7"/>
  <c r="E87" i="7"/>
  <c r="G52" i="6" s="1"/>
  <c r="F58" i="10" s="1"/>
  <c r="F80" i="7"/>
  <c r="H49" i="6" s="1"/>
  <c r="G53" i="10" s="1"/>
  <c r="G80" i="7"/>
  <c r="I49" i="6" s="1"/>
  <c r="H53" i="10" s="1"/>
  <c r="H80" i="7"/>
  <c r="J49" i="6" s="1"/>
  <c r="I53" i="10" s="1"/>
  <c r="E80" i="7"/>
  <c r="G49" i="6" s="1"/>
  <c r="F53" i="10" s="1"/>
  <c r="F75" i="7"/>
  <c r="H47" i="6" s="1"/>
  <c r="G49" i="10" s="1"/>
  <c r="G75" i="7"/>
  <c r="I47" i="6" s="1"/>
  <c r="H49" i="10" s="1"/>
  <c r="H75" i="7"/>
  <c r="J47" i="6" s="1"/>
  <c r="I49" i="10" s="1"/>
  <c r="E75" i="7"/>
  <c r="F68" i="7"/>
  <c r="H29" i="6" s="1"/>
  <c r="G68" i="7"/>
  <c r="I29" i="6" s="1"/>
  <c r="H68" i="7"/>
  <c r="J29" i="6" s="1"/>
  <c r="E68" i="7"/>
  <c r="G29" i="6" s="1"/>
  <c r="F63" i="7"/>
  <c r="G63" i="7"/>
  <c r="H63" i="7"/>
  <c r="E63" i="7"/>
  <c r="F58" i="7"/>
  <c r="G58" i="7"/>
  <c r="H58" i="7"/>
  <c r="E58" i="7"/>
  <c r="F53" i="7"/>
  <c r="H27" i="6" s="1"/>
  <c r="G25" i="10" s="1"/>
  <c r="G53" i="7"/>
  <c r="I27" i="6" s="1"/>
  <c r="H53" i="7"/>
  <c r="J27" i="6" s="1"/>
  <c r="E53" i="7"/>
  <c r="G27" i="6" s="1"/>
  <c r="F48" i="7"/>
  <c r="G48" i="7"/>
  <c r="H48" i="7"/>
  <c r="E48" i="7"/>
  <c r="E43" i="7"/>
  <c r="G35" i="6" s="1"/>
  <c r="F32" i="10" s="1"/>
  <c r="E38" i="7"/>
  <c r="G33" i="6" s="1"/>
  <c r="F43" i="7"/>
  <c r="H35" i="6" s="1"/>
  <c r="G32" i="10" s="1"/>
  <c r="G43" i="7"/>
  <c r="I35" i="6" s="1"/>
  <c r="H32" i="10" s="1"/>
  <c r="H43" i="7"/>
  <c r="J35" i="6" s="1"/>
  <c r="I32" i="10" s="1"/>
  <c r="F38" i="7"/>
  <c r="H33" i="6" s="1"/>
  <c r="G30" i="10" s="1"/>
  <c r="G38" i="7"/>
  <c r="I33" i="6" s="1"/>
  <c r="H30" i="10" s="1"/>
  <c r="H38" i="7"/>
  <c r="J33" i="6" s="1"/>
  <c r="I30" i="10" s="1"/>
  <c r="E31" i="7"/>
  <c r="G11" i="6" s="1"/>
  <c r="F19" i="10" s="1"/>
  <c r="F31" i="7"/>
  <c r="H11" i="6" s="1"/>
  <c r="G19" i="10" s="1"/>
  <c r="G31" i="7"/>
  <c r="I11" i="6" s="1"/>
  <c r="H19" i="10" s="1"/>
  <c r="H31" i="7"/>
  <c r="J11" i="6" s="1"/>
  <c r="I19" i="10" s="1"/>
  <c r="E26" i="7"/>
  <c r="G10" i="6" s="1"/>
  <c r="G12" i="6" s="1"/>
  <c r="F26" i="7"/>
  <c r="H10" i="6" s="1"/>
  <c r="H12" i="6" s="1"/>
  <c r="G26" i="7"/>
  <c r="I10" i="6" s="1"/>
  <c r="I12" i="6" s="1"/>
  <c r="H26" i="7"/>
  <c r="J10" i="6" s="1"/>
  <c r="J12" i="6" s="1"/>
  <c r="E21" i="7"/>
  <c r="G21" i="6" s="1"/>
  <c r="F16" i="10" s="1"/>
  <c r="F21" i="7"/>
  <c r="H21" i="6" s="1"/>
  <c r="G16" i="10" s="1"/>
  <c r="G21" i="7"/>
  <c r="I21" i="6" s="1"/>
  <c r="H16" i="10" s="1"/>
  <c r="H21" i="7"/>
  <c r="J21" i="6" s="1"/>
  <c r="I16" i="10" s="1"/>
  <c r="E11" i="7"/>
  <c r="G7" i="6" s="1"/>
  <c r="F11" i="7"/>
  <c r="G11" i="7"/>
  <c r="H11" i="7"/>
  <c r="F132" i="1"/>
  <c r="E132" i="1"/>
  <c r="D132" i="1"/>
  <c r="C134" i="1"/>
  <c r="F13" i="1"/>
  <c r="F16" i="1"/>
  <c r="E13" i="1"/>
  <c r="E7" i="8" s="1"/>
  <c r="E16" i="1"/>
  <c r="D13" i="1"/>
  <c r="D7" i="8" s="1"/>
  <c r="C16" i="2" l="1"/>
  <c r="F7" i="8"/>
  <c r="F40" i="5"/>
  <c r="C78" i="10"/>
  <c r="D78" i="10"/>
  <c r="G40" i="5"/>
  <c r="E78" i="10"/>
  <c r="F38" i="9"/>
  <c r="C18" i="2"/>
  <c r="H40" i="5"/>
  <c r="C67" i="10"/>
  <c r="D7" i="9"/>
  <c r="D16" i="9" s="1"/>
  <c r="D17" i="9" s="1"/>
  <c r="D20" i="9"/>
  <c r="D23" i="9"/>
  <c r="D22" i="9"/>
  <c r="D21" i="9"/>
  <c r="D24" i="9"/>
  <c r="E12" i="8"/>
  <c r="E60" i="1"/>
  <c r="E13" i="8" s="1"/>
  <c r="E35" i="8"/>
  <c r="E14" i="8"/>
  <c r="E62" i="1"/>
  <c r="E15" i="8" s="1"/>
  <c r="E70" i="6"/>
  <c r="F12" i="8"/>
  <c r="F60" i="1"/>
  <c r="F13" i="8" s="1"/>
  <c r="F35" i="8"/>
  <c r="F14" i="8"/>
  <c r="F62" i="1"/>
  <c r="F15" i="8" s="1"/>
  <c r="C12" i="8"/>
  <c r="C60" i="1"/>
  <c r="C13" i="8" s="1"/>
  <c r="C51" i="8"/>
  <c r="C35" i="8"/>
  <c r="C14" i="8"/>
  <c r="C62" i="1"/>
  <c r="C15" i="8" s="1"/>
  <c r="C25" i="9"/>
  <c r="E25" i="9"/>
  <c r="F25" i="9"/>
  <c r="D8" i="8"/>
  <c r="D70" i="8" s="1"/>
  <c r="D24" i="1"/>
  <c r="D9" i="8" s="1"/>
  <c r="E8" i="8"/>
  <c r="E70" i="8" s="1"/>
  <c r="E24" i="1"/>
  <c r="E9" i="8" s="1"/>
  <c r="G38" i="5"/>
  <c r="D67" i="10"/>
  <c r="E7" i="9"/>
  <c r="E16" i="9" s="1"/>
  <c r="E17" i="9" s="1"/>
  <c r="F8" i="8"/>
  <c r="F70" i="8" s="1"/>
  <c r="F24" i="1"/>
  <c r="F9" i="8" s="1"/>
  <c r="E67" i="10"/>
  <c r="F28" i="9"/>
  <c r="F31" i="9" s="1"/>
  <c r="F7" i="9"/>
  <c r="F16" i="9" s="1"/>
  <c r="F17" i="9" s="1"/>
  <c r="C8" i="8"/>
  <c r="C70" i="8" s="1"/>
  <c r="C24" i="1"/>
  <c r="C9" i="8" s="1"/>
  <c r="C16" i="9"/>
  <c r="C17" i="9" s="1"/>
  <c r="G18" i="6"/>
  <c r="F6" i="10"/>
  <c r="F8" i="10" s="1"/>
  <c r="G28" i="6"/>
  <c r="F25" i="10"/>
  <c r="J28" i="6"/>
  <c r="I26" i="10" s="1"/>
  <c r="I25" i="10"/>
  <c r="I28" i="6"/>
  <c r="H26" i="10" s="1"/>
  <c r="H25" i="10"/>
  <c r="E18" i="3"/>
  <c r="I188" i="4"/>
  <c r="D18" i="3"/>
  <c r="H188" i="4"/>
  <c r="F18" i="3"/>
  <c r="J188" i="4"/>
  <c r="K73" i="5"/>
  <c r="G188" i="4"/>
  <c r="C18" i="3"/>
  <c r="G34" i="6"/>
  <c r="F30" i="10"/>
  <c r="D12" i="8"/>
  <c r="D60" i="1"/>
  <c r="D13" i="8" s="1"/>
  <c r="D51" i="8"/>
  <c r="D35" i="8"/>
  <c r="D14" i="8"/>
  <c r="D62" i="1"/>
  <c r="D15" i="8" s="1"/>
  <c r="D38" i="8"/>
  <c r="D20" i="3"/>
  <c r="H190" i="4"/>
  <c r="E20" i="3"/>
  <c r="I190" i="4"/>
  <c r="F20" i="3"/>
  <c r="J190" i="4"/>
  <c r="C20" i="3"/>
  <c r="G190" i="4"/>
  <c r="D134" i="1"/>
  <c r="D107" i="4"/>
  <c r="D109" i="4" s="1"/>
  <c r="E134" i="1"/>
  <c r="E107" i="4"/>
  <c r="E109" i="4" s="1"/>
  <c r="F134" i="1"/>
  <c r="F107" i="4"/>
  <c r="F109" i="4" s="1"/>
  <c r="D175" i="1"/>
  <c r="D144" i="4"/>
  <c r="E175" i="1"/>
  <c r="E144" i="4"/>
  <c r="F175" i="1"/>
  <c r="F144" i="4"/>
  <c r="C144" i="4"/>
  <c r="C175" i="1"/>
  <c r="I61" i="4"/>
  <c r="H28" i="6"/>
  <c r="J30" i="6"/>
  <c r="I30" i="6"/>
  <c r="G47" i="6"/>
  <c r="F49" i="10" s="1"/>
  <c r="G46" i="6"/>
  <c r="G56" i="6"/>
  <c r="F62" i="10" s="1"/>
  <c r="G54" i="6"/>
  <c r="H52" i="6"/>
  <c r="G58" i="10" s="1"/>
  <c r="D39" i="4"/>
  <c r="E39" i="4"/>
  <c r="F39" i="4"/>
  <c r="H56" i="6"/>
  <c r="G62" i="10" s="1"/>
  <c r="H54" i="6"/>
  <c r="I52" i="6"/>
  <c r="H58" i="10" s="1"/>
  <c r="D64" i="6"/>
  <c r="D66" i="6"/>
  <c r="E64" i="6"/>
  <c r="E66" i="6"/>
  <c r="F64" i="6"/>
  <c r="F66" i="6"/>
  <c r="G48" i="6"/>
  <c r="F52" i="10" s="1"/>
  <c r="H46" i="6"/>
  <c r="G36" i="6"/>
  <c r="H34" i="6"/>
  <c r="H7" i="6"/>
  <c r="G9" i="6"/>
  <c r="C45" i="8" l="1"/>
  <c r="C44" i="8"/>
  <c r="F45" i="8"/>
  <c r="F44" i="8"/>
  <c r="E45" i="8"/>
  <c r="E44" i="8"/>
  <c r="D44" i="8"/>
  <c r="D45" i="8"/>
  <c r="D25" i="9"/>
  <c r="G22" i="6"/>
  <c r="F15" i="10" s="1"/>
  <c r="F7" i="10"/>
  <c r="H18" i="6"/>
  <c r="G6" i="10"/>
  <c r="G8" i="10" s="1"/>
  <c r="H10" i="4"/>
  <c r="G48" i="10"/>
  <c r="G70" i="10" s="1"/>
  <c r="H11" i="4"/>
  <c r="G60" i="10"/>
  <c r="G11" i="4"/>
  <c r="F60" i="10"/>
  <c r="G10" i="4"/>
  <c r="F48" i="10"/>
  <c r="F70" i="10" s="1"/>
  <c r="H30" i="6"/>
  <c r="G26" i="10"/>
  <c r="G30" i="6"/>
  <c r="F26" i="10"/>
  <c r="G8" i="4"/>
  <c r="F9" i="10"/>
  <c r="F68" i="10" s="1"/>
  <c r="H42" i="6"/>
  <c r="G29" i="10"/>
  <c r="G18" i="4"/>
  <c r="F31" i="10"/>
  <c r="F69" i="10" s="1"/>
  <c r="G42" i="6"/>
  <c r="F29" i="10"/>
  <c r="C146" i="4"/>
  <c r="C177" i="4" s="1"/>
  <c r="C180" i="4" s="1"/>
  <c r="C206" i="1"/>
  <c r="C211" i="1" s="1"/>
  <c r="C213" i="1" s="1"/>
  <c r="F206" i="1"/>
  <c r="F211" i="1" s="1"/>
  <c r="F213" i="1" s="1"/>
  <c r="F146" i="4"/>
  <c r="F177" i="4" s="1"/>
  <c r="F180" i="4" s="1"/>
  <c r="E206" i="1"/>
  <c r="E211" i="1" s="1"/>
  <c r="E213" i="1" s="1"/>
  <c r="E146" i="4"/>
  <c r="E177" i="4" s="1"/>
  <c r="E180" i="4" s="1"/>
  <c r="D206" i="1"/>
  <c r="D211" i="1" s="1"/>
  <c r="D213" i="1" s="1"/>
  <c r="D146" i="4"/>
  <c r="D177" i="4" s="1"/>
  <c r="D180" i="4" s="1"/>
  <c r="J61" i="4"/>
  <c r="G9" i="4"/>
  <c r="G63" i="6"/>
  <c r="G7" i="4" s="1"/>
  <c r="I56" i="6"/>
  <c r="H62" i="10" s="1"/>
  <c r="I54" i="6"/>
  <c r="J52" i="6"/>
  <c r="I58" i="10" s="1"/>
  <c r="I46" i="6"/>
  <c r="H48" i="6"/>
  <c r="G52" i="10" s="1"/>
  <c r="H36" i="6"/>
  <c r="I34" i="6"/>
  <c r="I7" i="6"/>
  <c r="H9" i="6"/>
  <c r="H22" i="6" l="1"/>
  <c r="G15" i="10" s="1"/>
  <c r="G7" i="10"/>
  <c r="I18" i="6"/>
  <c r="H6" i="10"/>
  <c r="H8" i="10" s="1"/>
  <c r="I10" i="4"/>
  <c r="H48" i="10"/>
  <c r="I11" i="4"/>
  <c r="H60" i="10"/>
  <c r="F71" i="10"/>
  <c r="F61" i="10"/>
  <c r="G71" i="10"/>
  <c r="G61" i="10"/>
  <c r="H8" i="4"/>
  <c r="G9" i="10"/>
  <c r="G68" i="10" s="1"/>
  <c r="I42" i="6"/>
  <c r="H29" i="10"/>
  <c r="H18" i="4"/>
  <c r="G31" i="10"/>
  <c r="G69" i="10" s="1"/>
  <c r="F67" i="10"/>
  <c r="G23" i="9"/>
  <c r="G28" i="9"/>
  <c r="G7" i="9"/>
  <c r="D31" i="2"/>
  <c r="D15" i="2"/>
  <c r="I37" i="5"/>
  <c r="I38" i="5" s="1"/>
  <c r="F41" i="10"/>
  <c r="G69" i="6"/>
  <c r="G73" i="4"/>
  <c r="G13" i="9"/>
  <c r="G41" i="10"/>
  <c r="H69" i="6"/>
  <c r="G21" i="4"/>
  <c r="G20" i="4"/>
  <c r="G75" i="4"/>
  <c r="G102" i="4"/>
  <c r="H9" i="4"/>
  <c r="D34" i="2"/>
  <c r="E34" i="2" s="1"/>
  <c r="F34" i="2" s="1"/>
  <c r="G34" i="2" s="1"/>
  <c r="D32" i="2"/>
  <c r="E32" i="2" s="1"/>
  <c r="F32" i="2" s="1"/>
  <c r="G32" i="2" s="1"/>
  <c r="D33" i="2"/>
  <c r="E33" i="2" s="1"/>
  <c r="F33" i="2" s="1"/>
  <c r="G33" i="2" s="1"/>
  <c r="E31" i="2"/>
  <c r="F31" i="2" s="1"/>
  <c r="G31" i="2" s="1"/>
  <c r="G25" i="4"/>
  <c r="G36" i="9" s="1"/>
  <c r="G24" i="4"/>
  <c r="G23" i="4"/>
  <c r="G15" i="4"/>
  <c r="G13" i="4"/>
  <c r="H63" i="6"/>
  <c r="H7" i="4" s="1"/>
  <c r="J56" i="6"/>
  <c r="I62" i="10" s="1"/>
  <c r="J54" i="6"/>
  <c r="G64" i="6"/>
  <c r="G66" i="6"/>
  <c r="G68" i="6"/>
  <c r="G67" i="6"/>
  <c r="J46" i="6"/>
  <c r="I48" i="6"/>
  <c r="H52" i="10" s="1"/>
  <c r="I36" i="6"/>
  <c r="J34" i="6"/>
  <c r="I29" i="10" s="1"/>
  <c r="J7" i="6"/>
  <c r="I6" i="10" s="1"/>
  <c r="I8" i="10" s="1"/>
  <c r="I9" i="6"/>
  <c r="H70" i="10" l="1"/>
  <c r="D12" i="11"/>
  <c r="I22" i="6"/>
  <c r="H15" i="10" s="1"/>
  <c r="D10" i="11" s="1"/>
  <c r="H7" i="10"/>
  <c r="J10" i="4"/>
  <c r="I48" i="10"/>
  <c r="I70" i="10" s="1"/>
  <c r="J11" i="4"/>
  <c r="I60" i="10"/>
  <c r="H71" i="10"/>
  <c r="H61" i="10"/>
  <c r="I8" i="4"/>
  <c r="H9" i="10"/>
  <c r="H68" i="10" s="1"/>
  <c r="I18" i="4"/>
  <c r="H31" i="10"/>
  <c r="H69" i="10" s="1"/>
  <c r="H21" i="4"/>
  <c r="G67" i="10"/>
  <c r="H23" i="9"/>
  <c r="H28" i="9"/>
  <c r="H7" i="9"/>
  <c r="J37" i="5"/>
  <c r="J38" i="5" s="1"/>
  <c r="G8" i="9"/>
  <c r="D16" i="2"/>
  <c r="G21" i="9"/>
  <c r="G34" i="9"/>
  <c r="G24" i="9"/>
  <c r="G35" i="9"/>
  <c r="G20" i="9"/>
  <c r="G15" i="9"/>
  <c r="G30" i="9" s="1"/>
  <c r="G22" i="9"/>
  <c r="G32" i="9"/>
  <c r="H70" i="6"/>
  <c r="H27" i="4"/>
  <c r="G19" i="4"/>
  <c r="G140" i="4"/>
  <c r="G14" i="9" s="1"/>
  <c r="G29" i="9" s="1"/>
  <c r="G31" i="9" s="1"/>
  <c r="G70" i="6"/>
  <c r="G27" i="4"/>
  <c r="G16" i="9"/>
  <c r="G17" i="9" s="1"/>
  <c r="H73" i="4"/>
  <c r="H13" i="9"/>
  <c r="H41" i="10"/>
  <c r="I69" i="6"/>
  <c r="H75" i="4"/>
  <c r="H102" i="4"/>
  <c r="G105" i="4"/>
  <c r="G106" i="4" s="1"/>
  <c r="G143" i="4"/>
  <c r="G137" i="4"/>
  <c r="I9" i="4"/>
  <c r="H25" i="4"/>
  <c r="H36" i="9" s="1"/>
  <c r="H24" i="4"/>
  <c r="H23" i="4"/>
  <c r="H20" i="4"/>
  <c r="H15" i="4"/>
  <c r="H13" i="4"/>
  <c r="H8" i="9" s="1"/>
  <c r="H28" i="4"/>
  <c r="I63" i="6"/>
  <c r="I7" i="4" s="1"/>
  <c r="J48" i="6"/>
  <c r="I52" i="10" s="1"/>
  <c r="H64" i="6"/>
  <c r="H66" i="6"/>
  <c r="H68" i="6"/>
  <c r="H67" i="6"/>
  <c r="J36" i="6"/>
  <c r="J42" i="6"/>
  <c r="J9" i="6"/>
  <c r="J18" i="6"/>
  <c r="J10" i="11" l="1"/>
  <c r="I10" i="11"/>
  <c r="H10" i="11"/>
  <c r="J12" i="11"/>
  <c r="I12" i="11"/>
  <c r="H12" i="11"/>
  <c r="J8" i="4"/>
  <c r="I9" i="10"/>
  <c r="I68" i="10" s="1"/>
  <c r="J22" i="6"/>
  <c r="I15" i="10" s="1"/>
  <c r="I7" i="10"/>
  <c r="I71" i="10"/>
  <c r="I61" i="10"/>
  <c r="I41" i="10"/>
  <c r="J69" i="6"/>
  <c r="J18" i="4"/>
  <c r="I31" i="10"/>
  <c r="I69" i="10" s="1"/>
  <c r="I21" i="4"/>
  <c r="H67" i="10"/>
  <c r="I23" i="9"/>
  <c r="I28" i="9"/>
  <c r="I7" i="9"/>
  <c r="K37" i="5"/>
  <c r="K38" i="5" s="1"/>
  <c r="J40" i="5"/>
  <c r="G78" i="10"/>
  <c r="H38" i="9"/>
  <c r="H20" i="9"/>
  <c r="H15" i="9"/>
  <c r="H30" i="9" s="1"/>
  <c r="H21" i="9"/>
  <c r="H34" i="9"/>
  <c r="H24" i="9"/>
  <c r="H35" i="9"/>
  <c r="I70" i="6"/>
  <c r="I27" i="4"/>
  <c r="H19" i="4"/>
  <c r="H140" i="4"/>
  <c r="H14" i="9" s="1"/>
  <c r="H29" i="9" s="1"/>
  <c r="H31" i="9" s="1"/>
  <c r="I39" i="5"/>
  <c r="F73" i="10"/>
  <c r="G37" i="9"/>
  <c r="D17" i="2"/>
  <c r="D36" i="2"/>
  <c r="E36" i="2" s="1"/>
  <c r="F36" i="2" s="1"/>
  <c r="G36" i="2" s="1"/>
  <c r="D37" i="2"/>
  <c r="E37" i="2" s="1"/>
  <c r="F37" i="2" s="1"/>
  <c r="G37" i="2" s="1"/>
  <c r="D35" i="2"/>
  <c r="E35" i="2" s="1"/>
  <c r="F35" i="2" s="1"/>
  <c r="G35" i="2" s="1"/>
  <c r="G30" i="4"/>
  <c r="G38" i="4"/>
  <c r="G28" i="4"/>
  <c r="J39" i="5"/>
  <c r="G73" i="10"/>
  <c r="H37" i="9"/>
  <c r="H30" i="4"/>
  <c r="H38" i="4"/>
  <c r="G25" i="9"/>
  <c r="H16" i="9"/>
  <c r="H17" i="9" s="1"/>
  <c r="H22" i="9"/>
  <c r="H32" i="9"/>
  <c r="I73" i="4"/>
  <c r="I13" i="9"/>
  <c r="I75" i="4"/>
  <c r="I102" i="4"/>
  <c r="H105" i="4"/>
  <c r="H106" i="4" s="1"/>
  <c r="H143" i="4"/>
  <c r="H137" i="4"/>
  <c r="J9" i="4"/>
  <c r="I25" i="4"/>
  <c r="I36" i="9" s="1"/>
  <c r="I24" i="4"/>
  <c r="I23" i="4"/>
  <c r="I20" i="4"/>
  <c r="I15" i="4"/>
  <c r="I13" i="4"/>
  <c r="I8" i="9" s="1"/>
  <c r="I28" i="4"/>
  <c r="J63" i="6"/>
  <c r="J7" i="4" s="1"/>
  <c r="F22" i="3" s="1"/>
  <c r="J67" i="6"/>
  <c r="I64" i="6"/>
  <c r="I66" i="6"/>
  <c r="I68" i="6"/>
  <c r="I67" i="6"/>
  <c r="H16" i="11" l="1"/>
  <c r="H17" i="11"/>
  <c r="I16" i="11"/>
  <c r="I17" i="11"/>
  <c r="J16" i="11"/>
  <c r="J17" i="11"/>
  <c r="J21" i="4"/>
  <c r="I67" i="10"/>
  <c r="J23" i="9"/>
  <c r="J28" i="9"/>
  <c r="J7" i="9"/>
  <c r="L37" i="5"/>
  <c r="L38" i="5" s="1"/>
  <c r="K40" i="5"/>
  <c r="H78" i="10"/>
  <c r="I38" i="9"/>
  <c r="I20" i="9"/>
  <c r="I15" i="9"/>
  <c r="I30" i="9" s="1"/>
  <c r="I21" i="9"/>
  <c r="I34" i="9"/>
  <c r="I24" i="9"/>
  <c r="I35" i="9"/>
  <c r="I19" i="4"/>
  <c r="I140" i="4"/>
  <c r="I14" i="9" s="1"/>
  <c r="I29" i="9" s="1"/>
  <c r="I31" i="9" s="1"/>
  <c r="D17" i="3"/>
  <c r="D19" i="3" s="1"/>
  <c r="D23" i="3" s="1"/>
  <c r="H187" i="4"/>
  <c r="H189" i="4" s="1"/>
  <c r="H193" i="4" s="1"/>
  <c r="J41" i="5"/>
  <c r="H45" i="4"/>
  <c r="H39" i="4"/>
  <c r="I40" i="5"/>
  <c r="F78" i="10"/>
  <c r="G38" i="9"/>
  <c r="D18" i="2"/>
  <c r="I41" i="5"/>
  <c r="G45" i="4"/>
  <c r="G187" i="4"/>
  <c r="G189" i="4" s="1"/>
  <c r="G193" i="4" s="1"/>
  <c r="C17" i="3"/>
  <c r="G39" i="4"/>
  <c r="K39" i="5"/>
  <c r="H73" i="10"/>
  <c r="I37" i="9"/>
  <c r="I30" i="4"/>
  <c r="I38" i="4"/>
  <c r="H25" i="9"/>
  <c r="I16" i="9"/>
  <c r="I17" i="9" s="1"/>
  <c r="I22" i="9"/>
  <c r="I32" i="9"/>
  <c r="J73" i="4"/>
  <c r="J13" i="9"/>
  <c r="J70" i="6"/>
  <c r="J27" i="4"/>
  <c r="J75" i="4"/>
  <c r="J102" i="4"/>
  <c r="I105" i="4"/>
  <c r="I106" i="4" s="1"/>
  <c r="I143" i="4"/>
  <c r="I137" i="4"/>
  <c r="C28" i="3"/>
  <c r="J25" i="4"/>
  <c r="J36" i="9" s="1"/>
  <c r="J24" i="4"/>
  <c r="J23" i="4"/>
  <c r="J20" i="4"/>
  <c r="J15" i="4"/>
  <c r="J13" i="4"/>
  <c r="J8" i="9" s="1"/>
  <c r="J28" i="4"/>
  <c r="J65" i="6"/>
  <c r="J64" i="6"/>
  <c r="J68" i="6"/>
  <c r="J66" i="6"/>
  <c r="E35" i="11" l="1"/>
  <c r="J21" i="11"/>
  <c r="J26" i="11" s="1"/>
  <c r="J18" i="11"/>
  <c r="D35" i="11"/>
  <c r="I21" i="11"/>
  <c r="I26" i="11" s="1"/>
  <c r="I18" i="11"/>
  <c r="C35" i="11"/>
  <c r="H21" i="11"/>
  <c r="H26" i="11" s="1"/>
  <c r="H18" i="11"/>
  <c r="L40" i="5"/>
  <c r="I78" i="10"/>
  <c r="J38" i="9"/>
  <c r="J20" i="9"/>
  <c r="J15" i="9"/>
  <c r="J30" i="9" s="1"/>
  <c r="J21" i="9"/>
  <c r="J34" i="9"/>
  <c r="J24" i="9"/>
  <c r="J35" i="9"/>
  <c r="L39" i="5"/>
  <c r="I73" i="10"/>
  <c r="J37" i="9"/>
  <c r="J30" i="4"/>
  <c r="J38" i="4"/>
  <c r="J19" i="4"/>
  <c r="J140" i="4"/>
  <c r="J14" i="9" s="1"/>
  <c r="J29" i="9" s="1"/>
  <c r="J31" i="9" s="1"/>
  <c r="E17" i="3"/>
  <c r="E19" i="3" s="1"/>
  <c r="E23" i="3" s="1"/>
  <c r="I187" i="4"/>
  <c r="I189" i="4" s="1"/>
  <c r="I193" i="4" s="1"/>
  <c r="K41" i="5"/>
  <c r="I45" i="4"/>
  <c r="I39" i="4"/>
  <c r="C19" i="3"/>
  <c r="C23" i="3" s="1"/>
  <c r="I42" i="5"/>
  <c r="G49" i="4"/>
  <c r="G46" i="4"/>
  <c r="J42" i="5"/>
  <c r="H49" i="4"/>
  <c r="H46" i="4"/>
  <c r="I25" i="9"/>
  <c r="J16" i="9"/>
  <c r="J17" i="9" s="1"/>
  <c r="J22" i="9"/>
  <c r="J32" i="9"/>
  <c r="J105" i="4"/>
  <c r="J106" i="4" s="1"/>
  <c r="J143" i="4"/>
  <c r="J137" i="4"/>
  <c r="C32" i="3"/>
  <c r="C31" i="3"/>
  <c r="C30" i="3"/>
  <c r="C34" i="3" s="1"/>
  <c r="D28" i="3"/>
  <c r="C32" i="11" l="1"/>
  <c r="C31" i="11"/>
  <c r="D32" i="11"/>
  <c r="D59" i="5" s="1"/>
  <c r="D31" i="11"/>
  <c r="E32" i="11"/>
  <c r="E31" i="11"/>
  <c r="H51" i="4"/>
  <c r="H53" i="4" s="1"/>
  <c r="H145" i="4"/>
  <c r="G51" i="4"/>
  <c r="G53" i="4" s="1"/>
  <c r="G145" i="4"/>
  <c r="K42" i="5"/>
  <c r="I49" i="4"/>
  <c r="I46" i="4"/>
  <c r="F17" i="3"/>
  <c r="J187" i="4"/>
  <c r="J189" i="4" s="1"/>
  <c r="J193" i="4" s="1"/>
  <c r="L41" i="5"/>
  <c r="J45" i="4"/>
  <c r="J39" i="4"/>
  <c r="J25" i="9"/>
  <c r="D32" i="3"/>
  <c r="D31" i="3"/>
  <c r="D30" i="3"/>
  <c r="D34" i="3" s="1"/>
  <c r="E28" i="3"/>
  <c r="E41" i="11" l="1"/>
  <c r="E34" i="11"/>
  <c r="D41" i="11"/>
  <c r="D34" i="11"/>
  <c r="C41" i="11"/>
  <c r="C34" i="11"/>
  <c r="L42" i="5"/>
  <c r="J49" i="4"/>
  <c r="J46" i="4"/>
  <c r="F19" i="3"/>
  <c r="F23" i="3" s="1"/>
  <c r="I51" i="4"/>
  <c r="I53" i="4" s="1"/>
  <c r="I145" i="4"/>
  <c r="I43" i="5"/>
  <c r="D19" i="2"/>
  <c r="G55" i="4"/>
  <c r="I45" i="5" s="1"/>
  <c r="G54" i="4"/>
  <c r="I44" i="5" s="1"/>
  <c r="G87" i="4"/>
  <c r="G113" i="4"/>
  <c r="G135" i="4" s="1"/>
  <c r="G144" i="4" s="1"/>
  <c r="G146" i="4" s="1"/>
  <c r="G177" i="4" s="1"/>
  <c r="G180" i="4" s="1"/>
  <c r="G76" i="4" s="1"/>
  <c r="I48" i="5" s="1"/>
  <c r="J43" i="5"/>
  <c r="H55" i="4"/>
  <c r="J45" i="5" s="1"/>
  <c r="H54" i="4"/>
  <c r="J44" i="5" s="1"/>
  <c r="H113" i="4"/>
  <c r="H135" i="4" s="1"/>
  <c r="H144" i="4" s="1"/>
  <c r="H146" i="4" s="1"/>
  <c r="H177" i="4" s="1"/>
  <c r="E32" i="3"/>
  <c r="E31" i="3"/>
  <c r="E30" i="3"/>
  <c r="E34" i="3" s="1"/>
  <c r="F28" i="3"/>
  <c r="E36" i="11" l="1"/>
  <c r="D36" i="11"/>
  <c r="C36" i="11"/>
  <c r="H179" i="4"/>
  <c r="H180" i="4" s="1"/>
  <c r="H76" i="4" s="1"/>
  <c r="J48" i="5" s="1"/>
  <c r="G81" i="4"/>
  <c r="G89" i="4"/>
  <c r="H87" i="4"/>
  <c r="I55" i="4"/>
  <c r="K45" i="5" s="1"/>
  <c r="I113" i="4"/>
  <c r="I135" i="4" s="1"/>
  <c r="I144" i="4" s="1"/>
  <c r="I146" i="4" s="1"/>
  <c r="I177" i="4" s="1"/>
  <c r="K43" i="5"/>
  <c r="I54" i="4"/>
  <c r="K44" i="5" s="1"/>
  <c r="D41" i="3"/>
  <c r="F41" i="3"/>
  <c r="E41" i="3"/>
  <c r="J51" i="4"/>
  <c r="J53" i="4" s="1"/>
  <c r="J145" i="4"/>
  <c r="F32" i="3"/>
  <c r="F31" i="3"/>
  <c r="F30" i="3"/>
  <c r="F34" i="3" s="1"/>
  <c r="G28" i="3"/>
  <c r="H28" i="3" s="1"/>
  <c r="H30" i="3" l="1"/>
  <c r="I28" i="3"/>
  <c r="H32" i="3"/>
  <c r="J55" i="4"/>
  <c r="L45" i="5" s="1"/>
  <c r="J113" i="4"/>
  <c r="J135" i="4" s="1"/>
  <c r="J144" i="4" s="1"/>
  <c r="J146" i="4" s="1"/>
  <c r="J177" i="4" s="1"/>
  <c r="L43" i="5"/>
  <c r="J54" i="4"/>
  <c r="L44" i="5" s="1"/>
  <c r="I87" i="4"/>
  <c r="H89" i="4"/>
  <c r="I47" i="5"/>
  <c r="G107" i="4"/>
  <c r="G66" i="4"/>
  <c r="G70" i="4" s="1"/>
  <c r="I179" i="4"/>
  <c r="I180" i="4" s="1"/>
  <c r="I76" i="4" s="1"/>
  <c r="K48" i="5" s="1"/>
  <c r="H81" i="4"/>
  <c r="G32" i="3"/>
  <c r="G31" i="3"/>
  <c r="G30" i="3"/>
  <c r="G34" i="3" s="1"/>
  <c r="G83" i="4" l="1"/>
  <c r="I46" i="5" s="1"/>
  <c r="J179" i="4"/>
  <c r="J180" i="4" s="1"/>
  <c r="J76" i="4" s="1"/>
  <c r="I81" i="4"/>
  <c r="G109" i="4"/>
  <c r="H107" i="4"/>
  <c r="J47" i="5"/>
  <c r="J87" i="4"/>
  <c r="J89" i="4" s="1"/>
  <c r="I89" i="4"/>
  <c r="I30" i="3"/>
  <c r="I32" i="3"/>
  <c r="H34" i="3"/>
  <c r="J81" i="4" l="1"/>
  <c r="L48" i="5"/>
  <c r="I34" i="3"/>
  <c r="I107" i="4"/>
  <c r="K47" i="5"/>
  <c r="L47" i="5"/>
  <c r="J107" i="4"/>
  <c r="H66" i="4"/>
  <c r="H70" i="4" s="1"/>
  <c r="I66" i="4"/>
  <c r="I70" i="4" s="1"/>
  <c r="J66" i="4"/>
  <c r="J70" i="4" s="1"/>
  <c r="J83" i="4" l="1"/>
  <c r="L46" i="5" s="1"/>
  <c r="I83" i="4"/>
  <c r="K46" i="5" s="1"/>
  <c r="H83" i="4"/>
  <c r="J109" i="4"/>
  <c r="I109" i="4"/>
  <c r="F43" i="3"/>
  <c r="F44" i="3" s="1"/>
  <c r="D43" i="3"/>
  <c r="D44" i="3" s="1"/>
  <c r="E43" i="3"/>
  <c r="E44" i="3" s="1"/>
  <c r="C66" i="3"/>
  <c r="C67" i="3"/>
  <c r="C68" i="3"/>
  <c r="C69" i="3"/>
  <c r="C70" i="3"/>
  <c r="D42" i="3"/>
  <c r="D46" i="3" s="1"/>
  <c r="D65" i="3"/>
  <c r="E65" i="3"/>
  <c r="F65" i="3"/>
  <c r="G65" i="3"/>
  <c r="H65" i="3"/>
  <c r="I65" i="3"/>
  <c r="D66" i="3"/>
  <c r="E66" i="3"/>
  <c r="F66" i="3"/>
  <c r="G66" i="3"/>
  <c r="H66" i="3"/>
  <c r="I66" i="3"/>
  <c r="D67" i="3"/>
  <c r="E67" i="3"/>
  <c r="F67" i="3"/>
  <c r="G67" i="3"/>
  <c r="H67" i="3"/>
  <c r="I67" i="3"/>
  <c r="D68" i="3"/>
  <c r="E68" i="3"/>
  <c r="F68" i="3"/>
  <c r="G68" i="3"/>
  <c r="H68" i="3"/>
  <c r="I68" i="3"/>
  <c r="D69" i="3"/>
  <c r="E69" i="3"/>
  <c r="F69" i="3"/>
  <c r="G69" i="3"/>
  <c r="H69" i="3"/>
  <c r="I69" i="3"/>
  <c r="D70" i="3"/>
  <c r="E70" i="3"/>
  <c r="F70" i="3"/>
  <c r="G70" i="3"/>
  <c r="H70" i="3"/>
  <c r="I70" i="3"/>
  <c r="F42" i="3"/>
  <c r="E42" i="3"/>
  <c r="C65" i="3"/>
  <c r="H109" i="4" l="1"/>
  <c r="J46" i="5"/>
  <c r="E45" i="3"/>
  <c r="E46" i="3"/>
  <c r="F45" i="3"/>
  <c r="F46" i="3"/>
  <c r="D49" i="3"/>
  <c r="D53" i="3" s="1"/>
  <c r="C56" i="3" s="1"/>
  <c r="C40" i="11" s="1"/>
  <c r="C60" i="3"/>
  <c r="C59" i="3"/>
  <c r="D45" i="3"/>
  <c r="C43" i="11" l="1"/>
  <c r="D55" i="5"/>
  <c r="C58" i="3"/>
  <c r="F49" i="3"/>
  <c r="F53" i="3" s="1"/>
  <c r="E56" i="3" s="1"/>
  <c r="E40" i="11" s="1"/>
  <c r="E60" i="3"/>
  <c r="E59" i="3"/>
  <c r="E49" i="3"/>
  <c r="E53" i="3" s="1"/>
  <c r="D56" i="3" s="1"/>
  <c r="D40" i="11" s="1"/>
  <c r="D60" i="3"/>
  <c r="D59" i="3"/>
  <c r="D43" i="11" l="1"/>
  <c r="D53" i="5"/>
  <c r="E43" i="11"/>
  <c r="D54" i="5"/>
  <c r="D58" i="3"/>
  <c r="E58" i="3"/>
  <c r="D60" i="5" l="1"/>
  <c r="D45" i="11"/>
  <c r="D47" i="11" s="1"/>
</calcChain>
</file>

<file path=xl/sharedStrings.xml><?xml version="1.0" encoding="utf-8"?>
<sst xmlns="http://schemas.openxmlformats.org/spreadsheetml/2006/main" count="1851" uniqueCount="1184">
  <si>
    <r>
      <t xml:space="preserve">ETERNAL LIMITED
</t>
    </r>
    <r>
      <rPr>
        <b/>
        <sz val="18"/>
        <color rgb="FFFFFFFF"/>
        <rFont val="Cambria"/>
      </rPr>
      <t>(Formerly known as Zomato Limited)</t>
    </r>
  </si>
  <si>
    <t>EQUITY RESEARCH | FINANCIAL MODEL &amp; DCF VALUATION</t>
  </si>
  <si>
    <t>Prepared by: Aditi Garg | MBA  | Galgotias College of Engineering and Technology</t>
  </si>
  <si>
    <t>Model Version: 1.0 | Date: April 2026 | For Academic Research Purposes</t>
  </si>
  <si>
    <t>COMPANY OVERVIEW</t>
  </si>
  <si>
    <t>Eternal Limited (formerly Zomato Limited) is India's largest consumer commerce platform operating across four segments: Food Delivery, Quick Commerce (Blinkit), Going-Out (District), and B2B Supplies (Hyperpure). Listed on NSE/BSE (Scrip: ETERNAL), the company achieved consolidated PAT  profitability in FY24 and Blinkit EBITDA breakeven in Q3FY26.</t>
  </si>
  <si>
    <t>Business Description</t>
  </si>
  <si>
    <t>STOCK INFORMATION (As of April 2026)</t>
  </si>
  <si>
    <t>Sector</t>
  </si>
  <si>
    <t>Consumer Internet / E-Commerce</t>
  </si>
  <si>
    <t>Current Market Price: INR 249</t>
  </si>
  <si>
    <t>Industry</t>
  </si>
  <si>
    <t>Online Food &amp; Quick Commerce</t>
  </si>
  <si>
    <t>52-Week High</t>
  </si>
  <si>
    <t>INR 285</t>
  </si>
  <si>
    <t>Exchange</t>
  </si>
  <si>
    <t>NSE | BSE</t>
  </si>
  <si>
    <t>52-Week Low</t>
  </si>
  <si>
    <t>INR 165</t>
  </si>
  <si>
    <t>Scrip Symbol</t>
  </si>
  <si>
    <t>ETERNAL</t>
  </si>
  <si>
    <t>Market Cap</t>
  </si>
  <si>
    <t>INR ₹ 2,46,595 Cr</t>
  </si>
  <si>
    <t>ISIN</t>
  </si>
  <si>
    <t>INE758T01015</t>
  </si>
  <si>
    <t>Enterprise Value</t>
  </si>
  <si>
    <t>INR ₹ 2,33,886 Cr</t>
  </si>
  <si>
    <t>Face Value</t>
  </si>
  <si>
    <t>INR 1 per share</t>
  </si>
  <si>
    <t>Shares Outstanding</t>
  </si>
  <si>
    <t xml:space="preserve">906 Cr (Basic) | 940 Cr (Diluted) </t>
  </si>
  <si>
    <t>Listing Date</t>
  </si>
  <si>
    <t>Free Float</t>
  </si>
  <si>
    <t>Auditor</t>
  </si>
  <si>
    <t>Deloitte Haskins &amp; Sells</t>
  </si>
  <si>
    <t xml:space="preserve">Foreign Holding -  36.68% </t>
  </si>
  <si>
    <t>Registrar</t>
  </si>
  <si>
    <t>MUFG Intime India Pvt. Ltd.</t>
  </si>
  <si>
    <t>Promoter Holding: 0% (widely held)</t>
  </si>
  <si>
    <t>Company Website</t>
  </si>
  <si>
    <t>www.eternal.com</t>
  </si>
  <si>
    <t>Index Constituent -  Nifty 50 | Sensex</t>
  </si>
  <si>
    <t>IR Contact</t>
  </si>
  <si>
    <t>ir@eternal.com</t>
  </si>
  <si>
    <t>Bloomberg Ticker -  ETERNAL IN Equity</t>
  </si>
  <si>
    <t xml:space="preserve">KEY FINANCIAL METRICS TABLE | ₹ Crores </t>
  </si>
  <si>
    <t>Metric</t>
  </si>
  <si>
    <t>FY22A</t>
  </si>
  <si>
    <t>FY23A</t>
  </si>
  <si>
    <t>FY24A</t>
  </si>
  <si>
    <t>FY25A</t>
  </si>
  <si>
    <t>FY26E</t>
  </si>
  <si>
    <t>FY27E</t>
  </si>
  <si>
    <t>FY28E</t>
  </si>
  <si>
    <t>FY29E</t>
  </si>
  <si>
    <t>Revenue from Operations</t>
  </si>
  <si>
    <t>Revenue Growth %</t>
  </si>
  <si>
    <t>-</t>
  </si>
  <si>
    <t>Adj. EBITDA</t>
  </si>
  <si>
    <t>Adj. EBITDA Margin %</t>
  </si>
  <si>
    <t>EBIT</t>
  </si>
  <si>
    <t>Profit Before Tax</t>
  </si>
  <si>
    <t>Profit After Tax</t>
  </si>
  <si>
    <t>PAT Margin %</t>
  </si>
  <si>
    <t>EPS (INR)</t>
  </si>
  <si>
    <t>Total Assets</t>
  </si>
  <si>
    <t>Total Equity</t>
  </si>
  <si>
    <t xml:space="preserve"> Cash Position</t>
  </si>
  <si>
    <t>VALUATION SUMMARY &amp; INVESTMENT RECOMMENDATION</t>
  </si>
  <si>
    <t>Label</t>
  </si>
  <si>
    <t>Value</t>
  </si>
  <si>
    <t>Notes</t>
  </si>
  <si>
    <r>
      <rPr>
        <sz val="12"/>
        <color rgb="FFFFFFFF"/>
        <rFont val="Cambria"/>
      </rPr>
      <t xml:space="preserve">INVESTMENT RATING 
</t>
    </r>
    <r>
      <rPr>
        <b/>
        <sz val="16"/>
        <color rgb="FFFFFFFF"/>
        <rFont val="Cambria"/>
      </rPr>
      <t xml:space="preserve">H O L D
</t>
    </r>
    <r>
      <rPr>
        <sz val="11"/>
        <color rgb="FFFFFFFF"/>
        <rFont val="Cambria"/>
      </rPr>
      <t xml:space="preserve">Current Price: INR </t>
    </r>
    <r>
      <rPr>
        <b/>
        <sz val="11"/>
        <color rgb="FFFFFFFF"/>
        <rFont val="Cambria"/>
      </rPr>
      <t xml:space="preserve">249
</t>
    </r>
    <r>
      <rPr>
        <sz val="11"/>
        <color rgb="FFFFFFFF"/>
        <rFont val="Cambria"/>
      </rPr>
      <t>Target Price: INR 211
Upside/(Downside):</t>
    </r>
    <r>
      <rPr>
        <b/>
        <sz val="11"/>
        <color rgb="FFFFFFFF"/>
        <rFont val="Cambria"/>
      </rPr>
      <t xml:space="preserve"> (15.3%) 
</t>
    </r>
    <r>
      <rPr>
        <sz val="11"/>
        <color rgb="FFFFFFFF"/>
        <rFont val="Cambria"/>
      </rPr>
      <t xml:space="preserve">Time Horizon: 12 Months 
Risk Level: </t>
    </r>
    <r>
      <rPr>
        <b/>
        <sz val="11"/>
        <color rgb="FFFFFFFF"/>
        <rFont val="Cambria"/>
      </rPr>
      <t xml:space="preserve">HIGH </t>
    </r>
  </si>
  <si>
    <t>DCF Base Case</t>
  </si>
  <si>
    <t>WACC 13.95%, g=6.0%</t>
  </si>
  <si>
    <t>DCF Bull Case</t>
  </si>
  <si>
    <t>WACC 12.65%, g=6.5%</t>
  </si>
  <si>
    <t>DCF Bear Case</t>
  </si>
  <si>
    <t>WACC 15.9%, g=5.0%</t>
  </si>
  <si>
    <t>EV/Revenue Comps</t>
  </si>
  <si>
    <t>INR 137</t>
  </si>
  <si>
    <t>3.5x FY26E Revenue</t>
  </si>
  <si>
    <t>EV/EBITDA Comps</t>
  </si>
  <si>
    <t>INR 126</t>
  </si>
  <si>
    <t>23x FY26E Adj. EBITDA</t>
  </si>
  <si>
    <t>P/E Comps</t>
  </si>
  <si>
    <t>INR 154</t>
  </si>
  <si>
    <t>40x FY26E EPS</t>
  </si>
  <si>
    <t>SOTP Valuation</t>
  </si>
  <si>
    <t>Segment-wise build</t>
  </si>
  <si>
    <t>WEIGHTED TARGET</t>
  </si>
  <si>
    <t>30% DCF + 30% SOTP + 40% Comps</t>
  </si>
  <si>
    <t>MODEL NAVIGATION &amp; STRUCTURE</t>
  </si>
  <si>
    <t>Instruction text</t>
  </si>
  <si>
    <t>Click on any tab name below to navigate directly 
to that section of the model.</t>
  </si>
  <si>
    <t xml:space="preserve"> KEY ASSUMPTIONS SNAPSHOT</t>
  </si>
  <si>
    <t>Key Assumptions Snapshot</t>
  </si>
  <si>
    <t>Assumption</t>
  </si>
  <si>
    <t>Forecast Period</t>
  </si>
  <si>
    <t>FY26E-FY29E</t>
  </si>
  <si>
    <t>WACC</t>
  </si>
  <si>
    <t>Base Currency</t>
  </si>
  <si>
    <t>INR Crore</t>
  </si>
  <si>
    <t>Terminal Growth Rate</t>
  </si>
  <si>
    <t>Reporting Standard</t>
  </si>
  <si>
    <t>Ind AS</t>
  </si>
  <si>
    <t>Risk-Free Rate (India)</t>
  </si>
  <si>
    <t>Consolidation</t>
  </si>
  <si>
    <t>Eternal Ltd (Consol.)</t>
  </si>
  <si>
    <t>Equity Risk Premium</t>
  </si>
  <si>
    <t>Food Delivery NOV CAGR</t>
  </si>
  <si>
    <t>19% (FY25-29E)</t>
  </si>
  <si>
    <t>Beta (Adjusted)</t>
  </si>
  <si>
    <t>Blinkit Stores FY29E</t>
  </si>
  <si>
    <t>Tax Rate (normalized)</t>
  </si>
  <si>
    <t>Blinkit EBITDA % NOV FY29E</t>
  </si>
  <si>
    <t>Shares (Diluted)</t>
  </si>
  <si>
    <t>Hyperpure Revenue CAGR</t>
  </si>
  <si>
    <t>38% (FY25-29E)</t>
  </si>
  <si>
    <t>Net Cash (FY25A)</t>
  </si>
  <si>
    <t>INR 14,754 Cr</t>
  </si>
  <si>
    <t>Terminal EBIT Margin</t>
  </si>
  <si>
    <t>Investment Rating</t>
  </si>
  <si>
    <t>HOLD</t>
  </si>
  <si>
    <t>DISCLAIMER</t>
  </si>
  <si>
    <t>DISCLAIMER: "This financial model and valuation analysis has been prepared solely for academic and educational purposes as part of an MBA Finance research project. All projections, assumptions, and valuations contained herein are the author's own estimates and do not represent investment advice. Historical data sourced from Eternal Limited's Annual Reports (FY22-FY25), BSE/NSE filings, and publicly available earnings call transcripts. This document should not be used for actual investment decisions. The author holds no positions in Eternal Limited's securities."</t>
  </si>
  <si>
    <t xml:space="preserve">Historical financial Statement - ETERNAL LIMITED | ₹ Crores </t>
  </si>
  <si>
    <t>Particulars</t>
  </si>
  <si>
    <t>FY2022A</t>
  </si>
  <si>
    <t>FY2023A</t>
  </si>
  <si>
    <t>FY2024A</t>
  </si>
  <si>
    <t>FY2025A</t>
  </si>
  <si>
    <t>#</t>
  </si>
  <si>
    <t>Income Statement (₹ Crores)</t>
  </si>
  <si>
    <t>Food Delivery Platform Revenue</t>
  </si>
  <si>
    <t>Blinkit Quick Commerce Revenue</t>
  </si>
  <si>
    <t>Hyperpure B2B Supplies Revenue</t>
  </si>
  <si>
    <t>District / Going Out Revenue</t>
  </si>
  <si>
    <t>Bistro &amp; Others Revenue</t>
  </si>
  <si>
    <t xml:space="preserve">Total Revenue from Operations </t>
  </si>
  <si>
    <t>YoY Revenue Growth %</t>
  </si>
  <si>
    <t>Other Income</t>
  </si>
  <si>
    <t xml:space="preserve">TOTAL INCOME </t>
  </si>
  <si>
    <t>COST OF REVENUE</t>
  </si>
  <si>
    <t>Purchases of Stock-in-Trade</t>
  </si>
  <si>
    <t>Changes in Inventories of Stock-in-Trade</t>
  </si>
  <si>
    <t>Delivery Partner &amp; Fulfilment Costs</t>
  </si>
  <si>
    <t xml:space="preserve">Gross Profit </t>
  </si>
  <si>
    <t>Gross Margin % of Revenue</t>
  </si>
  <si>
    <t>PEOPLE COSTS</t>
  </si>
  <si>
    <t>Employee Benefits Expense (Cash)</t>
  </si>
  <si>
    <t>ESOP / Share-Based Compensation Expense</t>
  </si>
  <si>
    <t>Total People Costs</t>
  </si>
  <si>
    <t>OPERATING EXPENSES</t>
  </si>
  <si>
    <t>Advertising &amp; Marketing Expense</t>
  </si>
  <si>
    <t>Technology &amp; Platform Infrastructure Costs</t>
  </si>
  <si>
    <t>Short-term Lease &amp; Facility Costs</t>
  </si>
  <si>
    <t>Warehousing Management Expenses</t>
  </si>
  <si>
    <t>Outsourced Support Cost</t>
  </si>
  <si>
    <t>Payment Gateway Charges</t>
  </si>
  <si>
    <t>Other Operating Expenses</t>
  </si>
  <si>
    <t>Other Expenses</t>
  </si>
  <si>
    <t>Total Other Expenses</t>
  </si>
  <si>
    <t xml:space="preserve">ADJUSTED EBITDA </t>
  </si>
  <si>
    <t>Segment-wise Adj. EBITDA:</t>
  </si>
  <si>
    <t xml:space="preserve"> - Food</t>
  </si>
  <si>
    <t xml:space="preserve"> - Blinkit</t>
  </si>
  <si>
    <t xml:space="preserve"> - Hyperpure</t>
  </si>
  <si>
    <t xml:space="preserve"> - District/Going Out</t>
  </si>
  <si>
    <t>Others</t>
  </si>
  <si>
    <t>Unallocated / Corporate</t>
  </si>
  <si>
    <t>NON-CASH CHARGES</t>
  </si>
  <si>
    <t>Depreciation on PPE</t>
  </si>
  <si>
    <t>Amortisation of Intangibles</t>
  </si>
  <si>
    <t>Depreciation on ROU Assets</t>
  </si>
  <si>
    <t xml:space="preserve">Total D&amp;A </t>
  </si>
  <si>
    <t>EBITDA (Reported)</t>
  </si>
  <si>
    <t>EBITDA Margin%</t>
  </si>
  <si>
    <t xml:space="preserve">EBIT </t>
  </si>
  <si>
    <t>EBIT Margin %</t>
  </si>
  <si>
    <t>Interest on Borrowings</t>
  </si>
  <si>
    <t>Interest on Lease Liabilities</t>
  </si>
  <si>
    <t>Total Finance Costs</t>
  </si>
  <si>
    <t>Exceptional Items (₹ Cr)</t>
  </si>
  <si>
    <t xml:space="preserve">PROFIT BEFORE TAX </t>
  </si>
  <si>
    <t>PBT Margin %</t>
  </si>
  <si>
    <t>TAX</t>
  </si>
  <si>
    <t>Current Tax</t>
  </si>
  <si>
    <t>Deferred Tax</t>
  </si>
  <si>
    <t>Total Tax Expense (VIII)</t>
  </si>
  <si>
    <t xml:space="preserve">PROFIT AFTER TAX </t>
  </si>
  <si>
    <t>Basic EPS</t>
  </si>
  <si>
    <t>Diluted EPS</t>
  </si>
  <si>
    <t>Balance Sheet (₹ Crores)</t>
  </si>
  <si>
    <t xml:space="preserve">TOTAL NON-CURRENT ASSETS </t>
  </si>
  <si>
    <t>Property, Plant &amp; Equipment (Net)</t>
  </si>
  <si>
    <t>Capital Work-in-Progress</t>
  </si>
  <si>
    <t>Right-of-Use Assets</t>
  </si>
  <si>
    <t>Goodwill</t>
  </si>
  <si>
    <t>Other Intangible Assets</t>
  </si>
  <si>
    <t>Non-Current Investments</t>
  </si>
  <si>
    <t>Other Non-Current Financial Assets</t>
  </si>
  <si>
    <t>Deferred Tax Assets</t>
  </si>
  <si>
    <t>Other Non-Current Assets</t>
  </si>
  <si>
    <t xml:space="preserve">TOTAL CURRENT ASSETS </t>
  </si>
  <si>
    <t>Inventories</t>
  </si>
  <si>
    <t>Current Investments</t>
  </si>
  <si>
    <t>Trade Receivables</t>
  </si>
  <si>
    <t>Cash &amp; Cash Equivalents</t>
  </si>
  <si>
    <t xml:space="preserve">Bank Balances </t>
  </si>
  <si>
    <t>Loans (Current)</t>
  </si>
  <si>
    <t>Other Current Financial Assets</t>
  </si>
  <si>
    <t>Other Current Assets</t>
  </si>
  <si>
    <t xml:space="preserve">TOTAL ASSETS </t>
  </si>
  <si>
    <t xml:space="preserve"> EQUITY </t>
  </si>
  <si>
    <t>Share Capital</t>
  </si>
  <si>
    <t>Other Equity</t>
  </si>
  <si>
    <t>Non-Controlling Interest</t>
  </si>
  <si>
    <t xml:space="preserve">TOTAL EQUITY </t>
  </si>
  <si>
    <t xml:space="preserve">NON-CURRENT LIABILITIES </t>
  </si>
  <si>
    <t>Lease Liabilities (Non-Current)</t>
  </si>
  <si>
    <t>Borrowings (Non-Current)</t>
  </si>
  <si>
    <t>Deferred Tax Liabilities</t>
  </si>
  <si>
    <t>Non-Current Provisions</t>
  </si>
  <si>
    <t>Other Non-Current Financial Liabilities</t>
  </si>
  <si>
    <t xml:space="preserve">TOTAL NON-CURRENT LIABILITIES </t>
  </si>
  <si>
    <t xml:space="preserve">CURRENT LIABILITIES </t>
  </si>
  <si>
    <t>Lease Liabilities (Current)</t>
  </si>
  <si>
    <t>Trade Payables - MSME</t>
  </si>
  <si>
    <t>Trade Payables - Others</t>
  </si>
  <si>
    <t>Borrowings (Current)</t>
  </si>
  <si>
    <t>Other Current Financial Liabilities</t>
  </si>
  <si>
    <t>Other Current Liabilities</t>
  </si>
  <si>
    <t xml:space="preserve">TOTAL CURRENT LIABILITIES </t>
  </si>
  <si>
    <t xml:space="preserve">TOTAL EQUITY &amp; LIABILITIES </t>
  </si>
  <si>
    <t>CHECK: Assets – Liabilities = 0</t>
  </si>
  <si>
    <t>Cash Flow Statement (₹ Crores)</t>
  </si>
  <si>
    <t>OPERATING ACTIVITIES</t>
  </si>
  <si>
    <t>Liabilities Written Back</t>
  </si>
  <si>
    <t>Depreciation</t>
  </si>
  <si>
    <t>Amortisation</t>
  </si>
  <si>
    <t>Provision for Doubtful Debts</t>
  </si>
  <si>
    <t>Bad Debts Written Off</t>
  </si>
  <si>
    <t>Gain on Termination of Lease</t>
  </si>
  <si>
    <t>ESOP Expense</t>
  </si>
  <si>
    <t>(Profit)/Loss on Sale of PPE</t>
  </si>
  <si>
    <t>Net Gain on Mutual Funds</t>
  </si>
  <si>
    <t>Share in Profit/Loss of JV</t>
  </si>
  <si>
    <t>Interest Income - Govt Securities</t>
  </si>
  <si>
    <t>Interest Income - Bonds/Debentures</t>
  </si>
  <si>
    <t>Amortisation - Govt Securities</t>
  </si>
  <si>
    <t>Amortisation - Bonds</t>
  </si>
  <si>
    <t>Interest Expense</t>
  </si>
  <si>
    <t>Gain on Disposal of Investment</t>
  </si>
  <si>
    <t>Interest Income - Bank Deposits</t>
  </si>
  <si>
    <t>Interest Income - Tax Refund</t>
  </si>
  <si>
    <t>FX / Hyperinflation Loss</t>
  </si>
  <si>
    <t>Other Non-Cash Items</t>
  </si>
  <si>
    <t>Operating Profit Before WC Changes</t>
  </si>
  <si>
    <t>WORKING CAPITAL CHANGES</t>
  </si>
  <si>
    <t>Change in Trade Receivables</t>
  </si>
  <si>
    <t>Change in Other Financial Assets</t>
  </si>
  <si>
    <t>Change in Other Assets</t>
  </si>
  <si>
    <t>Change in Inventory</t>
  </si>
  <si>
    <t>Change in Financial &amp; Other Liabilities</t>
  </si>
  <si>
    <t>Change in Provisions</t>
  </si>
  <si>
    <t>Change in Trade Payables</t>
  </si>
  <si>
    <t>Cash Generated from Operations</t>
  </si>
  <si>
    <t>Income Tax Paid (Net)</t>
  </si>
  <si>
    <t xml:space="preserve">Net Cash from Operating Activities </t>
  </si>
  <si>
    <t>INVESTING ACTIVITIES</t>
  </si>
  <si>
    <t>Purchase of PPE</t>
  </si>
  <si>
    <t>Sale of PPE</t>
  </si>
  <si>
    <t>Investment in Bank Deposits</t>
  </si>
  <si>
    <t>Maturity of Bank Deposits</t>
  </si>
  <si>
    <t>Redemption of Mutual Funds</t>
  </si>
  <si>
    <t>Investment in Mutual Funds</t>
  </si>
  <si>
    <t>Acquisition of Subsidiary</t>
  </si>
  <si>
    <t>Purchase of Non-current Investments</t>
  </si>
  <si>
    <t>Sale of Non-current Investments</t>
  </si>
  <si>
    <t>Investment in Govt Securities</t>
  </si>
  <si>
    <t>Maturity of Govt Securities</t>
  </si>
  <si>
    <t>Investment in Bonds</t>
  </si>
  <si>
    <t>Redemption of Bonds</t>
  </si>
  <si>
    <t>Loans Given</t>
  </si>
  <si>
    <t>Interest Received</t>
  </si>
  <si>
    <t xml:space="preserve">Net Cash from Investing </t>
  </si>
  <si>
    <t>FINANCING ACTIVITIES</t>
  </si>
  <si>
    <t>Issue of Shares</t>
  </si>
  <si>
    <t>Transaction Costs</t>
  </si>
  <si>
    <t>Borrowings Repaid</t>
  </si>
  <si>
    <t>ESOP Proceeds</t>
  </si>
  <si>
    <t>Lease Principal Payment</t>
  </si>
  <si>
    <t>Lease Interest Payment</t>
  </si>
  <si>
    <t>Interest Paid</t>
  </si>
  <si>
    <t xml:space="preserve">Net Cash from Financing </t>
  </si>
  <si>
    <t>RECONCILIATION</t>
  </si>
  <si>
    <t>Net Change (A+B+C)</t>
  </si>
  <si>
    <t>Cash from Acquisition</t>
  </si>
  <si>
    <t>Sale of Subsidiary</t>
  </si>
  <si>
    <t>FX Adjustment</t>
  </si>
  <si>
    <t>Opening Cash</t>
  </si>
  <si>
    <t>Closing Cash</t>
  </si>
  <si>
    <t>Balance Check</t>
  </si>
  <si>
    <t xml:space="preserve">KPI - ETERNAL LIMITED | ₹ Crores </t>
  </si>
  <si>
    <t xml:space="preserve"> GROUP-LEVEL FINANCIAL KPIs</t>
  </si>
  <si>
    <t>Total Revenue from Operations (₹ Cr)</t>
  </si>
  <si>
    <t>Gross Profit (₹ Cr)</t>
  </si>
  <si>
    <t>Gross Margin %</t>
  </si>
  <si>
    <t>Adjusted EBITDA (₹ Cr)</t>
  </si>
  <si>
    <t>Adjusted EBITDA Margin %</t>
  </si>
  <si>
    <t>Reported EBITDA (₹ Cr)</t>
  </si>
  <si>
    <t>Reported EBITDA Margin %</t>
  </si>
  <si>
    <t>EBIT (₹ Cr)</t>
  </si>
  <si>
    <t>PBT (₹ Cr)</t>
  </si>
  <si>
    <t>PAT (₹ Cr)</t>
  </si>
  <si>
    <t>Basic EPS (₹)</t>
  </si>
  <si>
    <t>Diluted EPS (₹)</t>
  </si>
  <si>
    <t>Book Value Per Share (₹)</t>
  </si>
  <si>
    <t>COST STRUCTURE KPIs</t>
  </si>
  <si>
    <t>Employee Cost (% of Revenue)</t>
  </si>
  <si>
    <t>ESOP (% of Revenue)</t>
  </si>
  <si>
    <t>Cash Employee Cost (% of Revenue)</t>
  </si>
  <si>
    <t>Marketing &amp; Advertising (% of Revenue)</t>
  </si>
  <si>
    <t>Technology Cost (% of Revenue)</t>
  </si>
  <si>
    <t>Delivery &amp; Fulfilment (% of Revenue)</t>
  </si>
  <si>
    <t>Total Other Expenses (% of Revenue)</t>
  </si>
  <si>
    <t>CAPITAL EFFICIENCY KPIs</t>
  </si>
  <si>
    <t>Return on Equity (%)</t>
  </si>
  <si>
    <t>Return on Capital Employed (%)</t>
  </si>
  <si>
    <t>Asset Turnover (x)</t>
  </si>
  <si>
    <t>Capex (% of Revenue)</t>
  </si>
  <si>
    <t>Capex (% of Adj EBITDA)</t>
  </si>
  <si>
    <t>WORKING CAPITAL KPIs</t>
  </si>
  <si>
    <t>Debtor Days</t>
  </si>
  <si>
    <t>Creditor Days</t>
  </si>
  <si>
    <t>Inventory Days</t>
  </si>
  <si>
    <t>Cash Conversion Ratio (CFO/PAT)</t>
  </si>
  <si>
    <t>CFO / Adjusted EBITDA</t>
  </si>
  <si>
    <t>LIQUIDITY &amp; LEVERAGE KPIs</t>
  </si>
  <si>
    <t>Cash &amp; Cash Equivalents (₹ Cr)</t>
  </si>
  <si>
    <t>Total Liquid Assets (₹ Cr)</t>
  </si>
  <si>
    <t>Net Cash Position (₹ Cr)</t>
  </si>
  <si>
    <t>Interest Coverage (x)</t>
  </si>
  <si>
    <t>SEGMENT FINANCIAL KPIs</t>
  </si>
  <si>
    <t>Food Delivery</t>
  </si>
  <si>
    <t>Blinkit</t>
  </si>
  <si>
    <t>Hyperpure</t>
  </si>
  <si>
    <t>District / Going Out</t>
  </si>
  <si>
    <t>SEGMENT REVENUE YoY GROWTH (%)</t>
  </si>
  <si>
    <t>SEGMENT REVENUE MIX (% of Total)</t>
  </si>
  <si>
    <t>SEGMENT ADJUSTED EBITDA (₹ Cr)</t>
  </si>
  <si>
    <t>SEGMENT ADJUSTED EBITDA MARGIN (%)</t>
  </si>
  <si>
    <t>FOOD DELIVERY OPERATIONAL KPIs</t>
  </si>
  <si>
    <t>ORDER &amp; VALUE METRICS</t>
  </si>
  <si>
    <t>Gross Order Value (₹ Cr)</t>
  </si>
  <si>
    <t>Net Order Value  (₹ Cr)</t>
  </si>
  <si>
    <t xml:space="preserve"> Platform Revenue</t>
  </si>
  <si>
    <t>Adjusted Revenue (₹ Cr)</t>
  </si>
  <si>
    <t>Adjusted Revenue (% of GOV)</t>
  </si>
  <si>
    <t>Adjusted Revenue (% of NOV)</t>
  </si>
  <si>
    <t>VOLUME &amp; CUSTOMER METRICS</t>
  </si>
  <si>
    <t>Number of Orders (millions)</t>
  </si>
  <si>
    <t>Average Order Value - AOV (₹)</t>
  </si>
  <si>
    <t>Net AOV - NAOV (₹)</t>
  </si>
  <si>
    <t>Monthly Transacting Users - MTU (millions)</t>
  </si>
  <si>
    <t>Annual Transacting Customers - ATC (millions)</t>
  </si>
  <si>
    <t>n/a</t>
  </si>
  <si>
    <t>Annual Order Frequency</t>
  </si>
  <si>
    <t>Delivery Partners ('000)</t>
  </si>
  <si>
    <t>Contribution (₹ Cr)</t>
  </si>
  <si>
    <t>Take Rate</t>
  </si>
  <si>
    <t>SUPPLY-SIDE METRICS</t>
  </si>
  <si>
    <t>Active Restaurant Partners ('000)</t>
  </si>
  <si>
    <t>Active Delivery Partners ('000)</t>
  </si>
  <si>
    <t>Active Cities</t>
  </si>
  <si>
    <t>1,000+</t>
  </si>
  <si>
    <t>PROFITABILITY &amp; UNIT ECONOMICS</t>
  </si>
  <si>
    <t>Contribution Margin</t>
  </si>
  <si>
    <t>1.7% (of GOV)</t>
  </si>
  <si>
    <t>Adj EBITDA  (₹ Cr)</t>
  </si>
  <si>
    <t>Adj EBITDA Margin (% of NOV)</t>
  </si>
  <si>
    <t>BLINKIT QUICK COMMERCE OPERATIONAL KPIs</t>
  </si>
  <si>
    <t>ORDER &amp; VALUE METRICS (Blinkit)</t>
  </si>
  <si>
    <t>Gross Order Value - GOV (₹ Cr)</t>
  </si>
  <si>
    <t>Net Order Value - NOV (₹ Cr)</t>
  </si>
  <si>
    <t>Revenue (₹ Cr)</t>
  </si>
  <si>
    <t>Revenue (% of GOV)</t>
  </si>
  <si>
    <t>INFRASTRUCTURE &amp; SCALE METRICS</t>
  </si>
  <si>
    <t>Dark Store Count (end of period)</t>
  </si>
  <si>
    <t>Net Store Additions</t>
  </si>
  <si>
    <t>Cities</t>
  </si>
  <si>
    <t>100+</t>
  </si>
  <si>
    <t>Warehousing Space (mn sqft)</t>
  </si>
  <si>
    <t>~7.2</t>
  </si>
  <si>
    <t>EFFICIENCY METRICS (PER STORE)</t>
  </si>
  <si>
    <t>GOV per Day per Store (₹ ‘000)</t>
  </si>
  <si>
    <t>NOV per Day per Store (₹ ‘000)</t>
  </si>
  <si>
    <t>Contribution Margin (% of NOV)</t>
  </si>
  <si>
    <t xml:space="preserve"> HYPERPURE B2B OPERATIONAL KPIs</t>
  </si>
  <si>
    <t>REVENUE &amp; GROWTH (Hyperpure)</t>
  </si>
  <si>
    <t>Revenue YoY Growth %</t>
  </si>
  <si>
    <t>BUSINESS SCALE METRICS</t>
  </si>
  <si>
    <t>Unique Restaurant / Business Partners</t>
  </si>
  <si>
    <t>Adj EBITDA Margin (% of Revenue)</t>
  </si>
  <si>
    <t>DISTRICT / GOING OUT OPERATIONAL KPIs</t>
  </si>
  <si>
    <t>REVENUE &amp; PROFITABILITY</t>
  </si>
  <si>
    <t>STRATEGIC METRICS</t>
  </si>
  <si>
    <t>FY30 NOV Target</t>
  </si>
  <si>
    <t>$3 Billion</t>
  </si>
  <si>
    <t>Implied CAGR (FY25-FY30)</t>
  </si>
  <si>
    <t>LEASE &amp; GOODWILL DEEP DIVE</t>
  </si>
  <si>
    <t>GOODWILL ANALYSIS</t>
  </si>
  <si>
    <t>Goodwill (₹ Cr)</t>
  </si>
  <si>
    <t>Goodwill (% of Total Assets)</t>
  </si>
  <si>
    <t>Goodwill (% of Equity)</t>
  </si>
  <si>
    <t>Goodwill / Adj EBITDA</t>
  </si>
  <si>
    <t>8.5x</t>
  </si>
  <si>
    <t>4.0x</t>
  </si>
  <si>
    <t>LEASE STRUCTURE</t>
  </si>
  <si>
    <t>ROU Assets (₹ Cr)</t>
  </si>
  <si>
    <t>Lease Liabilities (₹ Cr)</t>
  </si>
  <si>
    <t>ROU Assets (% of Total Assets)</t>
  </si>
  <si>
    <t>Lease Liabilities (% of Total Liabilities)</t>
  </si>
  <si>
    <t>LEASE CASH FLOW BURDEN</t>
  </si>
  <si>
    <t>Lease Principal Payment (₹ Cr)</t>
  </si>
  <si>
    <t>Lease Interest Payment (₹ Cr)</t>
  </si>
  <si>
    <t>Total Lease Cash Outflow (₹ Cr)</t>
  </si>
  <si>
    <t>Lease Depreciation (₹ Cr)</t>
  </si>
  <si>
    <t>LEASE EFFICIENCY METRICS</t>
  </si>
  <si>
    <t>Avg Remaining Lease Term (years)</t>
  </si>
  <si>
    <t>Lease Liability / Adj EBITDA</t>
  </si>
  <si>
    <t>1.3x</t>
  </si>
  <si>
    <t>1.4x</t>
  </si>
  <si>
    <t>TREASURY ANALYSIS</t>
  </si>
  <si>
    <t>INVESTMENT POOL &amp; LIQUIDITY</t>
  </si>
  <si>
    <t>Non-Current Investments (₹ Cr)</t>
  </si>
  <si>
    <t>OTHER INCOME &amp; YIELD ANALYSIS</t>
  </si>
  <si>
    <t>Other Income (₹ Cr)</t>
  </si>
  <si>
    <t>Implied Yield on Investment Pool (%)</t>
  </si>
  <si>
    <t>DEPENDENCE ON TREASURY INCOME</t>
  </si>
  <si>
    <t>Other Income (% of PBT)</t>
  </si>
  <si>
    <t>Other Income (% of Total Income)</t>
  </si>
  <si>
    <t>SHARE COUNT AND PER SHARE KPIs - PRECISE DATA</t>
  </si>
  <si>
    <t>Shares Outstanding (Cr)</t>
  </si>
  <si>
    <t>Weighted Avg Shares - Basic (Cr)</t>
  </si>
  <si>
    <t>Weighted Avg Shares - Diluted (Cr)</t>
  </si>
  <si>
    <t>EMPLOYEE &amp; PRODUCTIVITY KPIs</t>
  </si>
  <si>
    <t>Headcount (end of year)</t>
  </si>
  <si>
    <t>YoY Headcount Growth %</t>
  </si>
  <si>
    <t>Revenue per Employee (₹ Cr)</t>
  </si>
  <si>
    <t>Cost per Employee (₹ Lakhs)</t>
  </si>
  <si>
    <t xml:space="preserve">Assumptions - ETERNAL LIMITED | ₹ Crores </t>
  </si>
  <si>
    <t>Scenario</t>
  </si>
  <si>
    <t xml:space="preserve">Base Case </t>
  </si>
  <si>
    <t>Items</t>
  </si>
  <si>
    <t>Notes/Sources</t>
  </si>
  <si>
    <t>FOOD DELIVERY ASSUMPTIONS</t>
  </si>
  <si>
    <t>FD GOV Growth % YoY</t>
  </si>
  <si>
    <t>Bear Case</t>
  </si>
  <si>
    <t>Base Case</t>
  </si>
  <si>
    <t>Bull Case</t>
  </si>
  <si>
    <t>Active</t>
  </si>
  <si>
    <t xml:space="preserve">         Q2FY26 concall: 'expecting 15% this year; 20%+ long term'</t>
  </si>
  <si>
    <t>FD Take Rate (Rev÷GOV)</t>
  </si>
  <si>
    <t>FY22: 16% → FY25: 20.9%. Ceiling 22.5% - rest. pushback risk</t>
  </si>
  <si>
    <t>FD EBITDA Margin % NOV</t>
  </si>
  <si>
    <t>Postal ballot Feb 2026: steady state 5-6% of NOV confirmed</t>
  </si>
  <si>
    <t>FD MTU (mn)</t>
  </si>
  <si>
    <t>FY22-25 avg 12% growth; decelerating to 9%</t>
  </si>
  <si>
    <t>FD AOV (₹)</t>
  </si>
  <si>
    <t>Historical CAGR 4.4%; using 4.5%/yr  premium mix</t>
  </si>
  <si>
    <t>BLINKIT QUICK COMMERCE (Probability-Weighted: 40% Rational / 60% Irrational)</t>
  </si>
  <si>
    <t>Blinkit NOV Growth % YoY</t>
  </si>
  <si>
    <t>Q2FY26 run-rate 137%; H2FY26 suppressed by competition</t>
  </si>
  <si>
    <t>Blinkit Take Rate (Rev÷NOV)</t>
  </si>
  <si>
    <t>1P model 90% → full gross revenue recognition; ad rev growing</t>
  </si>
  <si>
    <t>Blinkit EBITDA Margin % NOV</t>
  </si>
  <si>
    <t>Base=prob.weighted. Mgmt SS target 5-6% NOV. Q3FY26 breakeven achieved</t>
  </si>
  <si>
    <t>Dark Store Count (EoY)</t>
  </si>
  <si>
    <t>FY25AR p.17: aim 2,000 by Dec'25. Base=prob.weighted</t>
  </si>
  <si>
    <t>Blinkit AOV (₹)</t>
  </si>
  <si>
    <t>3%/yr - general merch + premium categories growing</t>
  </si>
  <si>
    <t>Blinkit MTU (mn)</t>
  </si>
  <si>
    <t>Store expansion doubles addressable coverage</t>
  </si>
  <si>
    <t>Capex/Net New Store (₹ Cr)</t>
  </si>
  <si>
    <t>Q3FY26 concall: 'capex/store will increase - automation + larger stores'</t>
  </si>
  <si>
    <t>HYPERPURE ASSUMPTIONS</t>
  </si>
  <si>
    <t>Hyperpure Revenue Growth %</t>
  </si>
  <si>
    <t>Decelerating from 95%; FY29 at 25% - mature B2B distribution</t>
  </si>
  <si>
    <t>Hyperpure EBITDA Margin % Rev</t>
  </si>
  <si>
    <t>Postal ballot: SS target 4-5% revenue. Breakeven Q3FY26 confirmed</t>
  </si>
  <si>
    <t xml:space="preserve"> DISTRICT / GOING OUT (10% Execution Haircut Applied)</t>
  </si>
  <si>
    <t>District NOV Growth % YoY</t>
  </si>
  <si>
    <t>Base 70% (not 80%) - 10% M&amp;A execution haircut. FY25 NOV=₹6,618 Cr</t>
  </si>
  <si>
    <t>District Rev as % of NOV</t>
  </si>
  <si>
    <t>Ticketing gross in NOV; commission only in P&amp;L</t>
  </si>
  <si>
    <t>District EBITDA Margin % NOV</t>
  </si>
  <si>
    <t>Q3FY26: 'breakeven in next 4-6 quarters'. FY28 = first profitable year</t>
  </si>
  <si>
    <t>OTHERS / BISTRO (Immaterial — Conservative)</t>
  </si>
  <si>
    <t>Bistro Revenue (₹ Cr)</t>
  </si>
  <si>
    <t>All scenarios</t>
  </si>
  <si>
    <t>Early stage. Modelled flat - upside optionality not captured (conservative)</t>
  </si>
  <si>
    <t>COST ASSUMPTIONS</t>
  </si>
  <si>
    <t>Delivery &amp; Fulfilment % Rev</t>
  </si>
  <si>
    <t>FY22: 43.3% → FY25: 28.3%. 1pp/yr improvement assumed</t>
  </si>
  <si>
    <t>Advertising &amp; Marketing % Rev</t>
  </si>
  <si>
    <t>0.5pp/yr decline - ecosystem drives organic traffic</t>
  </si>
  <si>
    <t>Technology % Revenue</t>
  </si>
  <si>
    <t>Classic op. leverage - tech fixed costs on fast-growing rev base</t>
  </si>
  <si>
    <t>Effective Tax Rate</t>
  </si>
  <si>
    <t>CF losses ₹5,908 Cr (FY25 AR Note 34). Setoff FY26-27 → lower ETR</t>
  </si>
  <si>
    <t>DEPRECIATION &amp; AMORTISATION (Base Case — Hard Inputs)</t>
  </si>
  <si>
    <t>Depreciation on PPE (₹ Cr)</t>
  </si>
  <si>
    <t>Base</t>
  </si>
  <si>
    <t>25% on opening PPE blended 4yr life per AR policy</t>
  </si>
  <si>
    <t>Amortisation of Intangibles (₹ Cr)</t>
  </si>
  <si>
    <t>Blinkit/Orbgen intangibles winding down. No new M&amp;A</t>
  </si>
  <si>
    <t>Depreciation on ROU Assets (₹ Cr)</t>
  </si>
  <si>
    <t>IND-AS 116. Avg ROU/store ₹1.5 Cr × 25% dep rate</t>
  </si>
  <si>
    <t>Total D&amp;A (₹ Cr)</t>
  </si>
  <si>
    <t xml:space="preserve"> BALANCE SHEET ASSUMPTIONS (Base Case)</t>
  </si>
  <si>
    <t>1P model needs 10-15 day buffer. NWC target ≤18 days</t>
  </si>
  <si>
    <t>Hyperpure B2B receivables dominant - 30-60 day credit</t>
  </si>
  <si>
    <t>Pay suppliers fast - key for FMCG brand relationship</t>
  </si>
  <si>
    <t>Total Capex (₹ Cr)</t>
  </si>
  <si>
    <t>Peak FY27. Blinkit 80% of capex</t>
  </si>
  <si>
    <t>Total Liquid Pool (₹ Cr)</t>
  </si>
  <si>
    <t>₹1,300 Cr/yr depletion FY26-27; stabilises FY28-29</t>
  </si>
  <si>
    <t>1,301→3,700 stores × avg ₹1.5 Cr ROU/store</t>
  </si>
  <si>
    <t>Mirrors ROU - new leases &gt; repayments in expansion</t>
  </si>
  <si>
    <t xml:space="preserve"> WACC INPUTS</t>
  </si>
  <si>
    <t>Risk-Free Rate</t>
  </si>
  <si>
    <t>Input</t>
  </si>
  <si>
    <t>RBI 10Y G-Sec, early 2026</t>
  </si>
  <si>
    <t>Damodaran India ERP Jan 2026 = 5.5% (blended approach)</t>
  </si>
  <si>
    <t>Beta (Relevered)</t>
  </si>
  <si>
    <t>Base: 1.1 (debt-free adj from peers). Bear:1.3, Bull:0.95</t>
  </si>
  <si>
    <t>Cost of Equity</t>
  </si>
  <si>
    <t>Calculated</t>
  </si>
  <si>
    <t>CAPM: Rf + Beta × ERP</t>
  </si>
  <si>
    <t>WACC - Base Case</t>
  </si>
  <si>
    <t>WACC Base = Rf + 1.15×ERP = 6.8%+6.33% = 13.13%. 
Beta 1.15 used for base (slight illiquidity premium over 0.95)</t>
  </si>
  <si>
    <t>WACC - Bear</t>
  </si>
  <si>
    <t>CAPM: 6.8%+1.3×5.5%=14.50% - Bear scenario (higher beta)</t>
  </si>
  <si>
    <t>WACC - Bull</t>
  </si>
  <si>
    <t>CAPM: 6.8%+0.95×5.5%=12.0% - Bull scenario</t>
  </si>
  <si>
    <t>Terminal Growth Rate - Base</t>
  </si>
  <si>
    <t>India real GDP 3% + inflation 2.5% = 5.5% theoretical max. 
Conservative: 4.5% used —-2.3% below Rf (6.8%)</t>
  </si>
  <si>
    <t>Terminal Growth Rate - Bear</t>
  </si>
  <si>
    <t>Bear: 4.0% - slowdown scenario, 2.8% below Rf</t>
  </si>
  <si>
    <t>Terminal Growth Rate - Bull</t>
  </si>
  <si>
    <t>Strong moat - network density + ecosystem lock-in</t>
  </si>
  <si>
    <t>DILUTED SHARES OUTSTANDING (Crores)</t>
  </si>
  <si>
    <t>Diluted Shares (Cr)</t>
  </si>
  <si>
    <t xml:space="preserve">   25-30 Cr grants/yr, 4-yr vesting. No fresh equity. Deep. 3.3 Cr returned → redistributed</t>
  </si>
  <si>
    <t>INCOME STATEMENT DRIVERS (₹ Crores)</t>
  </si>
  <si>
    <t>Stock Purchases % of (Blinkit+Hyperpure Rev)</t>
  </si>
  <si>
    <t>FY25: 5653/(5206+6196)=0.496</t>
  </si>
  <si>
    <t>Cash Employee Benefits % Revenue</t>
  </si>
  <si>
    <t>Declining with operating leverage</t>
  </si>
  <si>
    <t>ESOP Expense (₹ Cr)</t>
  </si>
  <si>
    <t>From ESOP vesting schedule</t>
  </si>
  <si>
    <t>Advertising &amp; Marketing % Revenue</t>
  </si>
  <si>
    <t>Declining with brand building</t>
  </si>
  <si>
    <t>Technology &amp; Platform % Revenue</t>
  </si>
  <si>
    <t>Slight operating leverage</t>
  </si>
  <si>
    <t>Other Income - Yield on Liquid Pool</t>
  </si>
  <si>
    <t>7% yield on treasury</t>
  </si>
  <si>
    <t>Lease Interest Rate (% of Lease Liab)</t>
  </si>
  <si>
    <t>8.5% on IND-AS 116 leases</t>
  </si>
  <si>
    <t>Borrowing Interest (₹ Cr)</t>
  </si>
  <si>
    <t>Minimal - debt-free company</t>
  </si>
  <si>
    <t>FY22 only: ₹297Cr disposal gain</t>
  </si>
  <si>
    <t>Deferred Tax (Credit) / Charge (₹ Cr)</t>
  </si>
  <si>
    <t>MAT credit + timing differences</t>
  </si>
  <si>
    <t>ESOP vesting 30Cr/yr</t>
  </si>
  <si>
    <t>BALANCE SHEET PROJECTIONS (₹ Crores)</t>
  </si>
  <si>
    <t xml:space="preserve">Capital Work-in-Progress </t>
  </si>
  <si>
    <t>Peak with store build-out</t>
  </si>
  <si>
    <t>NC Financial Assets - Security Deposits</t>
  </si>
  <si>
    <t>Grows ~₹700Cr/yr with dark store expansion</t>
  </si>
  <si>
    <t xml:space="preserve">Deferred Tax Assets </t>
  </si>
  <si>
    <t>MAT/deferred tax asset build-up</t>
  </si>
  <si>
    <t>Capital advances etc</t>
  </si>
  <si>
    <t xml:space="preserve">Current Investments - Short-term MF </t>
  </si>
  <si>
    <t>Short-term treasury deployment</t>
  </si>
  <si>
    <t xml:space="preserve">Bank Balances - FDs &gt; 3 months </t>
  </si>
  <si>
    <t>FDs declining as capex ramps</t>
  </si>
  <si>
    <t xml:space="preserve">Other Current Financial Assets </t>
  </si>
  <si>
    <t>Accrued int, MF income receivable</t>
  </si>
  <si>
    <t xml:space="preserve">Other Current Assets </t>
  </si>
  <si>
    <t>Prepaid, GST credit, advance tax</t>
  </si>
  <si>
    <t>ESOP vesting ~30Cr shares/yr at ₹1 FV</t>
  </si>
  <si>
    <t>DTL unwinds as Blinkit intangibles amortise</t>
  </si>
  <si>
    <t xml:space="preserve">Non-Current Provisions - Gratuity etc </t>
  </si>
  <si>
    <t>Grows with employee headcount</t>
  </si>
  <si>
    <t xml:space="preserve">Other Non-Current Fin Liabilities </t>
  </si>
  <si>
    <t>Minimal</t>
  </si>
  <si>
    <t xml:space="preserve">Trade Payables  MSME </t>
  </si>
  <si>
    <t>Blinkit vendor onboarding</t>
  </si>
  <si>
    <t xml:space="preserve">Other Current Financial Liabilities </t>
  </si>
  <si>
    <t>Employee payables, derivatives</t>
  </si>
  <si>
    <t xml:space="preserve">Other Current Liabilities </t>
  </si>
  <si>
    <t>Advance from customers, statutory</t>
  </si>
  <si>
    <t>CFS — OPERATING ADJUSTMENTS</t>
  </si>
  <si>
    <t xml:space="preserve">Liabilities Written Back </t>
  </si>
  <si>
    <t>Stable small item</t>
  </si>
  <si>
    <t xml:space="preserve">Provision for Doubtful Debts </t>
  </si>
  <si>
    <t>2% of Trade Receivables</t>
  </si>
  <si>
    <t xml:space="preserve">Gain on Lease Termination </t>
  </si>
  <si>
    <t>Routine small gain</t>
  </si>
  <si>
    <t xml:space="preserve">Net Gain on Mutual Funds - reclassified </t>
  </si>
  <si>
    <t>Declining with MF pool</t>
  </si>
  <si>
    <t xml:space="preserve">Interest Income - GovSec reclassified </t>
  </si>
  <si>
    <t>G-sec portfolio rundown</t>
  </si>
  <si>
    <t xml:space="preserve">Interest Income  Bonds reclassified </t>
  </si>
  <si>
    <t>Bond redemption schedule</t>
  </si>
  <si>
    <t xml:space="preserve">Amortisation of Govt Securities </t>
  </si>
  <si>
    <t>Discount/premium amort</t>
  </si>
  <si>
    <t xml:space="preserve">Amortisation of Bonds </t>
  </si>
  <si>
    <t>Declining</t>
  </si>
  <si>
    <t xml:space="preserve">Interest Expense on Borrowings </t>
  </si>
  <si>
    <t>Debt-free - minimal</t>
  </si>
  <si>
    <t xml:space="preserve">Interest Income - Bank FDs reclassified </t>
  </si>
  <si>
    <t>FD yield on declining pool</t>
  </si>
  <si>
    <t xml:space="preserve">Interest Income - Others reclassified </t>
  </si>
  <si>
    <t>Miscellaneous</t>
  </si>
  <si>
    <t>CFS - WORKING CAPITAL CHANGES</t>
  </si>
  <si>
    <t>Change in Other Fin Assets</t>
  </si>
  <si>
    <t>Security deposits + accrued interest</t>
  </si>
  <si>
    <t xml:space="preserve">Change in Other Assets </t>
  </si>
  <si>
    <t>Prepaid, GST</t>
  </si>
  <si>
    <t xml:space="preserve">Change in Financial &amp; Other Liabilities </t>
  </si>
  <si>
    <t>Payroll liab growth</t>
  </si>
  <si>
    <t xml:space="preserve">Change in Provisions </t>
  </si>
  <si>
    <t>Gratuity additions</t>
  </si>
  <si>
    <t>CFS - INVESTING ACTIVITIES</t>
  </si>
  <si>
    <t xml:space="preserve">Investment in Bank FDs </t>
  </si>
  <si>
    <t>New FD investments</t>
  </si>
  <si>
    <t xml:space="preserve">Maturity of Bank FDs </t>
  </si>
  <si>
    <t>FD maturities</t>
  </si>
  <si>
    <t xml:space="preserve">Redemption of MFs </t>
  </si>
  <si>
    <t>Partial redemption</t>
  </si>
  <si>
    <t xml:space="preserve">Investment in MFs </t>
  </si>
  <si>
    <t>Reinvestment</t>
  </si>
  <si>
    <t xml:space="preserve">Investment in Govt Securities </t>
  </si>
  <si>
    <t>Winding down</t>
  </si>
  <si>
    <t xml:space="preserve">Maturity of Govt Securities </t>
  </si>
  <si>
    <t>Maturing portfolio</t>
  </si>
  <si>
    <t xml:space="preserve">Redemption of Bonds </t>
  </si>
  <si>
    <t>Bond maturities</t>
  </si>
  <si>
    <t xml:space="preserve">Interest Received </t>
  </si>
  <si>
    <t>Declining with pool</t>
  </si>
  <si>
    <t xml:space="preserve">Sale of PPE Proceeds </t>
  </si>
  <si>
    <t>Routine disposals</t>
  </si>
  <si>
    <t>CFS -FINANCING ACTIVITIES</t>
  </si>
  <si>
    <t xml:space="preserve">ESOP Trust Proceeds </t>
  </si>
  <si>
    <t>ESOP exercise</t>
  </si>
  <si>
    <t xml:space="preserve">Interest Paid on Borrowings </t>
  </si>
  <si>
    <t>CFS - FCFF</t>
  </si>
  <si>
    <t xml:space="preserve">FCFF - Change in NWC </t>
  </si>
  <si>
    <t>Broad NWC expansion</t>
  </si>
  <si>
    <t xml:space="preserve">REVENUE MODEL - ETERNAL LIMITED </t>
  </si>
  <si>
    <t>A. FOOD DELIVERY</t>
  </si>
  <si>
    <t>Operating Metrics</t>
  </si>
  <si>
    <t>Gross Order Value - GOV</t>
  </si>
  <si>
    <t>NOV % of GOV</t>
  </si>
  <si>
    <t xml:space="preserve">Net Order Value - NOV </t>
  </si>
  <si>
    <t>MTU (mn)</t>
  </si>
  <si>
    <t>AOV (₹)</t>
  </si>
  <si>
    <t>Annual Orders (mn)</t>
  </si>
  <si>
    <t>Avg Monthly Active Restaurants ('000)</t>
  </si>
  <si>
    <t>Avg Monthly Active Delivery Partners ('000)</t>
  </si>
  <si>
    <t>Revenue Build</t>
  </si>
  <si>
    <t xml:space="preserve">Take Rate </t>
  </si>
  <si>
    <t xml:space="preserve">Food Delivery Platform Revenue </t>
  </si>
  <si>
    <t>Profitability</t>
  </si>
  <si>
    <t>Adj EBITDA Margin % of NOV</t>
  </si>
  <si>
    <t xml:space="preserve">Adj EBITDA - Food Delivery </t>
  </si>
  <si>
    <t xml:space="preserve">B. BLINKIT </t>
  </si>
  <si>
    <t>Store Metrics</t>
  </si>
  <si>
    <t>Net New Store Additions</t>
  </si>
  <si>
    <t>Capex / New Store (₹ Cr)</t>
  </si>
  <si>
    <t>Blinkit Capex (₹ Cr)</t>
  </si>
  <si>
    <t>NOV Growth % YoY</t>
  </si>
  <si>
    <t>NOV (₹ Cr) [FY23 = Unaudited MIS]</t>
  </si>
  <si>
    <t>Take Rate (Revenue ÷ NOV)</t>
  </si>
  <si>
    <t>Blinkit Revenue (₹ Cr)</t>
  </si>
  <si>
    <t>Profitability [Probability-Weighted: 40% Rational + 60% Irrational]</t>
  </si>
  <si>
    <t>EBITDA Margin - Rational Scenario (40%)</t>
  </si>
  <si>
    <t>EBITDA Margin - Irrational Scenario (60%)</t>
  </si>
  <si>
    <t xml:space="preserve">EBITDA Margin % of NOV - Probability-Weighted </t>
  </si>
  <si>
    <t>Adj EBITDA - Blinkit (₹ Cr)</t>
  </si>
  <si>
    <t>C. HYPERPURE B2B SUPPLIES</t>
  </si>
  <si>
    <t>Adj EBITDA - Hyperpure (₹ Cr)</t>
  </si>
  <si>
    <t>Adj EBITDA Margin % of Revenue</t>
  </si>
  <si>
    <t>D. DISTRICT / GOING OUT [10% execution haircut on NOV growth]</t>
  </si>
  <si>
    <t>NOV (₹ Cr)</t>
  </si>
  <si>
    <t>Revenue as % of NOV</t>
  </si>
  <si>
    <t>District Revenue (₹ Cr)</t>
  </si>
  <si>
    <t>EBITDA Margin % of NOV - Base</t>
  </si>
  <si>
    <t>Adj EBITDA - District (₹ Cr)</t>
  </si>
  <si>
    <t>E. OTHERS / BISTRO</t>
  </si>
  <si>
    <t>Others Revenue (₹ Cr)</t>
  </si>
  <si>
    <t>Others Adj EBITDA (₹ Cr)</t>
  </si>
  <si>
    <t>F. GROUP CONSOLIDATION</t>
  </si>
  <si>
    <t xml:space="preserve">TOTAL REVENUE FROM OPERATIONS </t>
  </si>
  <si>
    <t>Revenue CAGR FY25–FY29</t>
  </si>
  <si>
    <t>Food Delivery Mix %</t>
  </si>
  <si>
    <t>Blinkit Mix %</t>
  </si>
  <si>
    <t>Hyperpure Mix %</t>
  </si>
  <si>
    <t>TOTAL ADJ. EBITDA (₹ Cr)</t>
  </si>
  <si>
    <t>Adj EBITDA Margin %</t>
  </si>
  <si>
    <t xml:space="preserve">3-STATEMENT MODEL - ETERNAL LIMITED  | ₹ Crores </t>
  </si>
  <si>
    <t>INCOME STATEMENT (₹ Crores)</t>
  </si>
  <si>
    <t>REVENUE FROM OPERATIONS</t>
  </si>
  <si>
    <t>Total Revenue from Operations</t>
  </si>
  <si>
    <t xml:space="preserve"> - Food Delivery</t>
  </si>
  <si>
    <t xml:space="preserve"> - Blinkit Quick Commerce</t>
  </si>
  <si>
    <t xml:space="preserve"> - Hyperpure B2B</t>
  </si>
  <si>
    <t xml:space="preserve"> - District / Going Out</t>
  </si>
  <si>
    <t xml:space="preserve"> - Others</t>
  </si>
  <si>
    <t>Other Income (Treasury Returns)</t>
  </si>
  <si>
    <t>TOTAL INCOME</t>
  </si>
  <si>
    <t>COST STRUCTURE</t>
  </si>
  <si>
    <t>Changes in Inventories</t>
  </si>
  <si>
    <t xml:space="preserve">Cash Employee Benefits </t>
  </si>
  <si>
    <t>ESOP / Share-Based Compensation</t>
  </si>
  <si>
    <t>Advertising &amp; Marketing</t>
  </si>
  <si>
    <t>Technology &amp; Platform Costs</t>
  </si>
  <si>
    <t>Other Operating Expenses (residual)</t>
  </si>
  <si>
    <t>ADJUSTED EBITDA</t>
  </si>
  <si>
    <t>Less: ESOP Expense</t>
  </si>
  <si>
    <t xml:space="preserve">REPORTED EBITDA </t>
  </si>
  <si>
    <t>DEPRECIATION &amp; AMORTISATION</t>
  </si>
  <si>
    <t xml:space="preserve">Depreciation on ROU Assets </t>
  </si>
  <si>
    <t>Total D&amp;A</t>
  </si>
  <si>
    <t>FINANCE COSTS</t>
  </si>
  <si>
    <t>Interest on Lease Liabilities (INDAS 116)</t>
  </si>
  <si>
    <t>Exceptional Items</t>
  </si>
  <si>
    <t>PROFIT BEFORE TAX (PBT)</t>
  </si>
  <si>
    <t>Deferred Tax (Credit) / Charge</t>
  </si>
  <si>
    <t>Total Tax Expense</t>
  </si>
  <si>
    <t>PROFIT AFTER TAX (PAT)</t>
  </si>
  <si>
    <t>CHECK: PAT matches AR? (0=OK)</t>
  </si>
  <si>
    <t xml:space="preserve">BALANCE SHEET (₹ Crores) </t>
  </si>
  <si>
    <t>NON-CURRENT ASSETS</t>
  </si>
  <si>
    <t>Right-of-Use Assets (IND-AS 116)</t>
  </si>
  <si>
    <t xml:space="preserve">Non-Current Investments </t>
  </si>
  <si>
    <t>TOTAL NON-CURRENT ASSETS</t>
  </si>
  <si>
    <t>CURRENT ASSETS</t>
  </si>
  <si>
    <t>Current Investment</t>
  </si>
  <si>
    <t xml:space="preserve">Cash &amp; Cash Equivalents </t>
  </si>
  <si>
    <t>Bank Balances (FDs &gt; 3 months)</t>
  </si>
  <si>
    <t>TOTAL CURRENT ASSETS</t>
  </si>
  <si>
    <t>EQUITY</t>
  </si>
  <si>
    <t>Non-Controlling Interests</t>
  </si>
  <si>
    <t>NON-CURRENT LIABILITIES</t>
  </si>
  <si>
    <t>Lease Liabilities</t>
  </si>
  <si>
    <t>Borrowing</t>
  </si>
  <si>
    <t>CURRENT LIABILITIES</t>
  </si>
  <si>
    <t xml:space="preserve">Lease Liabilities </t>
  </si>
  <si>
    <t>Trade Payables – MSME</t>
  </si>
  <si>
    <t>Trade Payables – Others</t>
  </si>
  <si>
    <t xml:space="preserve">TOTAL LIABILITIES </t>
  </si>
  <si>
    <t xml:space="preserve">✅ BALANCE SHEET CHECK </t>
  </si>
  <si>
    <t xml:space="preserve">CASH FLOW STATEMENT (₹ Crores) </t>
  </si>
  <si>
    <t xml:space="preserve">A. OPERATING ACTIVITIES </t>
  </si>
  <si>
    <t xml:space="preserve"> Non-cash adjustments</t>
  </si>
  <si>
    <t xml:space="preserve">Depreciation on PPE + ROU Assets </t>
  </si>
  <si>
    <t>Amortisation of Intangible Assets</t>
  </si>
  <si>
    <t xml:space="preserve">Gain on Termination of Leases </t>
  </si>
  <si>
    <t>(Profit) / Loss on Sale of Fixed Assets</t>
  </si>
  <si>
    <t xml:space="preserve">Net Gain on Mutual Funds </t>
  </si>
  <si>
    <t>Interest Income — Govt Securitie</t>
  </si>
  <si>
    <t>Interest Income — Bonds/Debenture</t>
  </si>
  <si>
    <t xml:space="preserve">Amortisation — Govt Securities </t>
  </si>
  <si>
    <t xml:space="preserve">Amortisation — Bonds </t>
  </si>
  <si>
    <t>Interest Expense on Borrowings</t>
  </si>
  <si>
    <t>(Gain) / Loss on Disposal of Investment</t>
  </si>
  <si>
    <t>Interest on Lease Liabilities (IND-AS 116)</t>
  </si>
  <si>
    <t>Interest Income — Bank Deposits (reclassified)</t>
  </si>
  <si>
    <t>Interest Income — Others (reclassified)</t>
  </si>
  <si>
    <t>FX / Hyperinflation Loss / (Gain)</t>
  </si>
  <si>
    <t>Operating Profit Before Working Capital Changes</t>
  </si>
  <si>
    <t>Working Capital Changes:</t>
  </si>
  <si>
    <t>Change in Inventories</t>
  </si>
  <si>
    <t>Change in Financial Liabilities &amp; Other Liabilities</t>
  </si>
  <si>
    <t xml:space="preserve">NET CASH FROM OPERATING ACTIVITIES </t>
  </si>
  <si>
    <t>B. INVESTING ACTIVITIES</t>
  </si>
  <si>
    <t>Purchase of PPE / Capital Expenditure</t>
  </si>
  <si>
    <t>Proceeds from Sale of PPE</t>
  </si>
  <si>
    <t>Investment in Bank Fixed Deposits</t>
  </si>
  <si>
    <t>Maturity of Bank Fixed Deposits</t>
  </si>
  <si>
    <t xml:space="preserve">Acquisition of Subsidiaries </t>
  </si>
  <si>
    <t>Purchase of Non-Current Investments</t>
  </si>
  <si>
    <t>Sale / Maturity of Non-Current Investments</t>
  </si>
  <si>
    <t>Investment in Bonds / Debentures</t>
  </si>
  <si>
    <t>Redemption of Bonds / Debentures</t>
  </si>
  <si>
    <t>Loans Given to Subsidiaries / Others</t>
  </si>
  <si>
    <t xml:space="preserve">NET CASH FROM INVESTING ACTIVITIES </t>
  </si>
  <si>
    <t>C. FINANCING ACTIVITIES</t>
  </si>
  <si>
    <t>Proceeds from Issue of Equity Shares (IPO / QIP)</t>
  </si>
  <si>
    <t>Transaction Costs on Equity Issue</t>
  </si>
  <si>
    <t>Repayment of Borrowings</t>
  </si>
  <si>
    <t>ESOP Trust Proceeds</t>
  </si>
  <si>
    <t>Lease Principal Payments</t>
  </si>
  <si>
    <t>Interest Paid on Borrowings</t>
  </si>
  <si>
    <t xml:space="preserve">NET CASH FROM FINANCING ACTIVITIES </t>
  </si>
  <si>
    <t>D. RECONCILIATION</t>
  </si>
  <si>
    <t>Net Increase / (Decrease) in Cash (A + B + C)</t>
  </si>
  <si>
    <t>FX Adjustment / Cash from Business Acquisition / Sale of Subsidiary</t>
  </si>
  <si>
    <t>Opening Cash &amp; Cash Equivalents</t>
  </si>
  <si>
    <t>CLOSING CASH &amp; CASH EQUIVALENTS</t>
  </si>
  <si>
    <t>Check</t>
  </si>
  <si>
    <t xml:space="preserve">E. FCFF SCHEDULE </t>
  </si>
  <si>
    <t>FY22A–FY25A: n/m (company in investment phase — Blinkit EBITDA negative, FCFF not meaningful)</t>
  </si>
  <si>
    <t>n/m</t>
  </si>
  <si>
    <t xml:space="preserve">Effective Tax Rate </t>
  </si>
  <si>
    <t xml:space="preserve">NOPAT </t>
  </si>
  <si>
    <t xml:space="preserve">Add: Total D&amp;A </t>
  </si>
  <si>
    <t xml:space="preserve">Less: Total Capex </t>
  </si>
  <si>
    <t>Less: Change in Net Working Capital</t>
  </si>
  <si>
    <t>FREE CASH FLOW TO FIRM (FCFF) - Other Income excluded</t>
  </si>
  <si>
    <t>DCF VALUATION - ETERNAL LIMITED | Two-Stage DCF | Operating FCFF (Treasury Excluded)</t>
  </si>
  <si>
    <t>CMP: ₹249 per share | Market Cap: ₹2,40,303 Cr | 52-Week Range: ₹212–₹368 | April 2026</t>
  </si>
  <si>
    <t>SECTION 1 - WACC CALCULATION</t>
  </si>
  <si>
    <t>Bear</t>
  </si>
  <si>
    <t>Bull</t>
  </si>
  <si>
    <t>Source / Notes</t>
  </si>
  <si>
    <t>Risk-Free Rate (10Y G-Sec)</t>
  </si>
  <si>
    <t>RBI 10Y G-Sec, early 2026 - Assumptions!D149</t>
  </si>
  <si>
    <t>Equity Risk Premium (ERP)</t>
  </si>
  <si>
    <t>Damodaran: US ERP 4.5% + India CRP 2.0% - Assumptions!D150</t>
  </si>
  <si>
    <t>Comps: DoorDash 1.30, Del.Hero 1.45, Sea 1.60 - Assumptions!D151</t>
  </si>
  <si>
    <t xml:space="preserve">Cost of Equity </t>
  </si>
  <si>
    <t>CAPM: Rf+β×ERP = 6.8%+(1.3/1.1/0.95)×5.5%</t>
  </si>
  <si>
    <t xml:space="preserve">MODEL WACC </t>
  </si>
  <si>
    <t>Eternal is DEBT-FREE → WACC = Ke - Assumptions!D153/154/155</t>
  </si>
  <si>
    <t>India nominal GDP 8-10%; conservative TGR</t>
  </si>
  <si>
    <t>SECTION 2 - STAGE 1 FCFF (FY26E–FY29E, from 3-Statement Tab FCFF Schedule)</t>
  </si>
  <si>
    <t>Notes / Source</t>
  </si>
  <si>
    <t>From 3-Statement IS EBIT row</t>
  </si>
  <si>
    <t>Tax Rate</t>
  </si>
  <si>
    <t>From Assumptions tab row 127</t>
  </si>
  <si>
    <t>Add: Total D&amp;A (₹ Cr)</t>
  </si>
  <si>
    <t>From Assumptions tab rows 131+132+133</t>
  </si>
  <si>
    <t>Less: Total Capex (₹ Cr)</t>
  </si>
  <si>
    <t>From Assumptions tab row 141 - Blinkit 80% of total</t>
  </si>
  <si>
    <t>Less: Change in NWC (₹ Cr)</t>
  </si>
  <si>
    <t>Revenue×18days/365 change; Q3FY26 concall: Akshant "NWC ≤18 days target</t>
  </si>
  <si>
    <t>FCFF Stage 1 (₹ Cr)</t>
  </si>
  <si>
    <t>SECTION 3 - STAGE 2 TRANSITION (FY30E–FY34E, Indicative Extrapolation)</t>
  </si>
  <si>
    <t>FY30E</t>
  </si>
  <si>
    <t>FY31E</t>
  </si>
  <si>
    <t>FY32E</t>
  </si>
  <si>
    <t>FY33E</t>
  </si>
  <si>
    <t>FY34E</t>
  </si>
  <si>
    <t>FY35E</t>
  </si>
  <si>
    <t>FY36E</t>
  </si>
  <si>
    <t>Notes/Source</t>
  </si>
  <si>
    <t>Tapering from 22.7% FY29 toward 12% steady state</t>
  </si>
  <si>
    <t>FY29E (₹69,238) × growth chain</t>
  </si>
  <si>
    <t>DoorDash FY25 EBITDA 15%+; Eternal 22% EBIT by FY36 justified by Food+Blinkit maturity</t>
  </si>
  <si>
    <t>NOPAT (₹ Cr)</t>
  </si>
  <si>
    <t>Rev × EBIT% × (1−25%); 25% tax rate</t>
  </si>
  <si>
    <t>D&amp;A (₹ Cr)</t>
  </si>
  <si>
    <t>2.5% tapering to 2.0% of revenue</t>
  </si>
  <si>
    <t>Capex (₹ Cr)</t>
  </si>
  <si>
    <t>1.2% tapering to 1.0% - maintenance capex</t>
  </si>
  <si>
    <t>Change in NWC (₹ Cr)</t>
  </si>
  <si>
    <t>Declining as growth slows</t>
  </si>
  <si>
    <t>FCFF Stage 2 (₹ Cr)</t>
  </si>
  <si>
    <t>NOPAT + DA - Capex - NWC</t>
  </si>
  <si>
    <t>SECTION 4 - DCF VALUATION SUMMARY (Bear | Base | Bull)</t>
  </si>
  <si>
    <t>WACC Used</t>
  </si>
  <si>
    <t>TGR Used</t>
  </si>
  <si>
    <t>PV of Stage 1 FCFFs</t>
  </si>
  <si>
    <t xml:space="preserve">PV of Stage 2 FCFFs </t>
  </si>
  <si>
    <t xml:space="preserve">Terminal Value </t>
  </si>
  <si>
    <t xml:space="preserve">PV of Terminal Value </t>
  </si>
  <si>
    <t>Terminal Value as % of Total EV</t>
  </si>
  <si>
    <t>ENTERPRISE VALUE (₹ Cr)</t>
  </si>
  <si>
    <t>EV TO EQUITY BRIDGE</t>
  </si>
  <si>
    <t>Enterprise Value (₹ Cr)</t>
  </si>
  <si>
    <t xml:space="preserve">Add: Liquid Assets - FY25A </t>
  </si>
  <si>
    <t>Less: Total Lease Liabilities - FY25A</t>
  </si>
  <si>
    <t>Less: Financial Debt</t>
  </si>
  <si>
    <t>EQUITY VALUE (₹ Cr)</t>
  </si>
  <si>
    <t>Diluted Shares Outstanding - FY26E (Cr)</t>
  </si>
  <si>
    <t>INTRINSIC VALUE PER SHARE (₹)</t>
  </si>
  <si>
    <t>CMP - April 16, 2026 (₹)</t>
  </si>
  <si>
    <t>Upside / (Downside) vs CMP</t>
  </si>
  <si>
    <t>Implied EV/Adj.EBITDA FY26E</t>
  </si>
  <si>
    <t>Implied EV/Revenue FY26E</t>
  </si>
  <si>
    <t>SECTION 5 - SENSITIVITY: Price Per Share vs WACC × TGR</t>
  </si>
  <si>
    <t>← TGR / WACC ↓</t>
  </si>
  <si>
    <t>SECTION 6 - FOOTBALL FIELD CHART DATA</t>
  </si>
  <si>
    <t>Valuation Method</t>
  </si>
  <si>
    <t>Low (₹)</t>
  </si>
  <si>
    <t>High (₹)</t>
  </si>
  <si>
    <t>EV/Revenue Comps 4–9x FY26E</t>
  </si>
  <si>
    <t>₹144</t>
  </si>
  <si>
    <t>₹290</t>
  </si>
  <si>
    <t>EV/EBITDA Comps 35–80x FY26E</t>
  </si>
  <si>
    <t>₹101</t>
  </si>
  <si>
    <t>₹202</t>
  </si>
  <si>
    <t>52-Week Trading Range</t>
  </si>
  <si>
    <t>₹213</t>
  </si>
  <si>
    <t>₹368</t>
  </si>
  <si>
    <t>CMP (Feb 2026)</t>
  </si>
  <si>
    <t>₹249</t>
  </si>
  <si>
    <t xml:space="preserve">STOP VALUATION - ETERNAL LIMITED </t>
  </si>
  <si>
    <t>Sum-of-the-Parts Valuation | FY28E Forward Multiples | Bear / Base / Bull Scenarios | April 2026</t>
  </si>
  <si>
    <t>SECTION 1 - METHODOLOGY &amp; RATIONALE</t>
  </si>
  <si>
    <t>Food Delivery on EV/Adj.EBITDA (mature, profitable). Blinkit on EV/GOV (pre-maturity, GOV-based industry standard). Hyperpure on EV/Revenue (B2B, thin margins). District on EV/GOV (early- stage platform). Net Cash added at book. Leases deducted at book. Three scenarios via multiple ranges.</t>
  </si>
  <si>
    <t>SECTION 2 — SEGMENT VALUATION TABLE</t>
  </si>
  <si>
    <t>Segment</t>
  </si>
  <si>
    <t>Valuation Metric</t>
  </si>
  <si>
    <t>FY28E Value (₹ Cr)</t>
  </si>
  <si>
    <t>Bear Multiple</t>
  </si>
  <si>
    <t>Base Multiple</t>
  </si>
  <si>
    <t>Bull Multiple</t>
  </si>
  <si>
    <t>Bear EV (₹ Cr)</t>
  </si>
  <si>
    <t>Base EV (₹ Cr)</t>
  </si>
  <si>
    <t>Bull EV (₹ Cr)</t>
  </si>
  <si>
    <t>Multiple Justification</t>
  </si>
  <si>
    <t>Food Delivery (Zomato)</t>
  </si>
  <si>
    <t>EV / Adj. EBITDA (FY28E)</t>
  </si>
  <si>
    <t>Nomura: 40x FY28E. DoorDash ~34x NTM. FD EBITDA FY28E=₹3,118 Cr at 5.7% NOV margin. Bear=35x (competition), Base=40x (Nomura aligned), Bull=48x (India internet premium + leadership).</t>
  </si>
  <si>
    <t>Blinkit (Quick Commerce)</t>
  </si>
  <si>
    <t>EV / GOV (FY28E)</t>
  </si>
  <si>
    <t>Nomura: 1.2x EV/GOV. Zepto private 1.0-1.3x. 45% QC market share. GOV FY28E=₹75,503 Cr. Bear=0.9x execution risk, Base=1.2x Nomura aligned, Bull=1.6x market dominance.</t>
  </si>
  <si>
    <t>Hyperpure (B2B Supply)</t>
  </si>
  <si>
    <t>EV / Revenue (FY28E)</t>
  </si>
  <si>
    <t>B2B food supply chain. Revenue FY28E=₹19,406 Cr at 3.5% EBITDA margin. No listed comp. Bear=0.5x thin margins, Base=0.7x, Bull=0.9x scale benefit.</t>
  </si>
  <si>
    <t>District (Going-Out/Events)</t>
  </si>
  <si>
    <t>Early-stage, loss-making. GOV FY28E=₹27,782 Cr. EBITDA turns positive FY28E. Deeply discounted. Bear=0.2x (optionality), Base=0.35x, Bull=0.5x (category proves out).</t>
  </si>
  <si>
    <t>Others / Platform Services</t>
  </si>
  <si>
    <t>Negligible contribution. Flat multiple all scenarios.</t>
  </si>
  <si>
    <t>TOTAL SEGMENT EV (₹ Cr)</t>
  </si>
  <si>
    <t>Food Delivery % of Segment EV</t>
  </si>
  <si>
    <t>Blinkit % of Segment EV</t>
  </si>
  <si>
    <t>SECTION 2 - EV TO EQUITY BRIDGE</t>
  </si>
  <si>
    <t>Total Segment EV (₹ Cr)</t>
  </si>
  <si>
    <t>Add: Net Liquid Assets - FY25A (₹ Cr)</t>
  </si>
  <si>
    <t>Less: Lease Liabilities - FY25A (₹ Cr)</t>
  </si>
  <si>
    <t>Less: Financial Debt (₹ Cr)</t>
  </si>
  <si>
    <t>Diluted Shares Outstanding (Cr)</t>
  </si>
  <si>
    <t>SECTION 3 -  SOTP VALUATION SUMMARY</t>
  </si>
  <si>
    <t>Equity Value (₹ Cr)</t>
  </si>
  <si>
    <t>Post net cash add &amp; lease deduction</t>
  </si>
  <si>
    <t>SOTP Intrinsic Value Per Share (₹)</t>
  </si>
  <si>
    <t>FY28E multiples - Nomura aligned</t>
  </si>
  <si>
    <t>CMP — April 2026 (₹)</t>
  </si>
  <si>
    <t>Consol FY28E Adj EBITDA = ₹6,609 Cr (sanity check)</t>
  </si>
  <si>
    <t>Implied EV / Consol Adj EBITDA FY28E</t>
  </si>
  <si>
    <t>Implied P/E FY28E</t>
  </si>
  <si>
    <t>PAT FY28E = ₹4,124 Cr per 3-Statement</t>
  </si>
  <si>
    <t>SECTION 5 — SOTP vs DCF RECONCILIATION</t>
  </si>
  <si>
    <t>Method</t>
  </si>
  <si>
    <t>Bear (₹)</t>
  </si>
  <si>
    <t>Base (₹)</t>
  </si>
  <si>
    <t>Bull (₹)</t>
  </si>
  <si>
    <t>Weight</t>
  </si>
  <si>
    <t>Rationale</t>
  </si>
  <si>
    <t>DCF Valuation</t>
  </si>
  <si>
    <t>Captures long-run terminal economics - majority weight</t>
  </si>
  <si>
    <t>Near-term segment multiples - Blinkit optionality captured</t>
  </si>
  <si>
    <t>BLENDED INTRINSIC VALUE (₹)</t>
  </si>
  <si>
    <t>12-Month Target Price — Base Case (₹)</t>
  </si>
  <si>
    <t>CMP (₹)</t>
  </si>
  <si>
    <t>Upside / (Downside) to Target</t>
  </si>
  <si>
    <t>SECTION 6 — KEY ASSUMPTIONS &amp; ANALYST BENCHMARKS</t>
  </si>
  <si>
    <t>1. FOOD DELIVERY (EV/EBITDA 35–48x FY28E): Nomura uses 40x FY28E EBITDA. DoorDash 34x NTM. FD EBITDA FY28E = ₹3,118 Cr (5.7% NOV margin, 19% GOV growth). Base=40x Nomura-aligned. Bull=48x India internet premium + margin expansion.</t>
  </si>
  <si>
    <t>2. BLINKIT (EV/GOV 0.9–1.6x FY28E): Nomura uses 1.2x EV/GOV implying 25x steady-state EBITDA at 5.2% margin. GOV FY28E = ₹75,503 Cr. 2,600+ dark stores. 45% QC market share. Bear=0.9x competition/execution, Bull=1.6x dominance.</t>
  </si>
  <si>
    <t>3. HYPERPURE (EV/Revenue 0.5–0.9x FY28E): Revenue ₹19,406 Cr FY28E. EBITDA margin 3.5%. B2B supply chain - no listed comp. Revenue multiple appropriate for thin-margin business. Path to 4-5% margin post FY28E.</t>
  </si>
  <si>
    <t>4. DISTRICT (EV/GOV 0.2–0.5x FY28E): GOV ₹27,782 Cr FY28E. EBITDA turns positive FY28E (₹354 Cr). Early-stage events/dining platform. Deeply discounted vs Blinkit. Bull=0.5x if category achieves platform-level adoption.</t>
  </si>
  <si>
    <t>5. BLENDED WEIGHT (DCF 60%, SOTP 40%): DCF captures terminal EBITDA expansion through FY36 (22% margin). SOTP anchors near-term multiples. SOTP &gt; DCF - Blinkit GOV multiple captures optionality that DCF's WACC discounts heavily. Blended = appropriate convergence.</t>
  </si>
  <si>
    <t>Source: Nomura Sep 2025 (₹370 target, 40x FY28E FD EBITDA, 1.2x Blinkit GOV); Axis Securities May 2025 (₹230 HOLD SOTP); Motilal Oswal Jan 2025 (₹270 Buy DCF). All multiples cross-checked vs published brokerage reports.</t>
  </si>
  <si>
    <t>COMPARABLE COMPANY ANALYSIS - ETERNAL LIMITED | April 2026</t>
  </si>
  <si>
    <t>Sources: NSE/BSE live prices | DoorDash FY2025 10-K | Swiggy FY25 Annual Report | Conversion: ₹84/$</t>
  </si>
  <si>
    <t>SECTION 1 — PEER UNIVERSE</t>
  </si>
  <si>
    <t>Company</t>
  </si>
  <si>
    <t>Ticker</t>
  </si>
  <si>
    <t>CMP</t>
  </si>
  <si>
    <t>Mkt Cap (₹ Cr)</t>
  </si>
  <si>
    <t>EV (₹ Cr)</t>
  </si>
  <si>
    <t>Why Included</t>
  </si>
  <si>
    <t>ETERNAL LIMITED ← Subject</t>
  </si>
  <si>
    <t>NSE: ETERNAL</t>
  </si>
  <si>
    <t>Subject company - food+QC+B2B+GoingOut</t>
  </si>
  <si>
    <t>SWIGGY LIMITED</t>
  </si>
  <si>
    <t>NSE: SWIGGY</t>
  </si>
  <si>
    <t>₹272</t>
  </si>
  <si>
    <t>Only direct Indian comp - food+QC+OOH</t>
  </si>
  <si>
    <t>DOORDASH INC</t>
  </si>
  <si>
    <t>NASDAQ: DASH</t>
  </si>
  <si>
    <t>Global food delivery leader, profitable FY25</t>
  </si>
  <si>
    <t>DELIVERY HERO SE</t>
  </si>
  <si>
    <t>XETRA: DHER</t>
  </si>
  <si>
    <t>€0.85</t>
  </si>
  <si>
    <t>Intl QC pioneer - verify Bloomberg</t>
  </si>
  <si>
    <t>SEA LIMITED</t>
  </si>
  <si>
    <t>NYSE: SE</t>
  </si>
  <si>
    <t>SE Asia multi-vertical platform - proxy</t>
  </si>
  <si>
    <t>SECTION 2 — FINANCIAL METRICS SUMMARY</t>
  </si>
  <si>
    <t>Eternal FY25A</t>
  </si>
  <si>
    <t>Eternal FY26E</t>
  </si>
  <si>
    <t>Swiggy FY25A</t>
  </si>
  <si>
    <t>DoorDash FY2025</t>
  </si>
  <si>
    <t>DoorDash $13.717B × 84 = ₹11.52L Cr</t>
  </si>
  <si>
    <t>Revenue Growth % (YoY)</t>
  </si>
  <si>
    <t>Eternal 67% FY25 - highest among peers</t>
  </si>
  <si>
    <t>Adj. EBITDA (₹ Cr)</t>
  </si>
  <si>
    <t>Swiggy still deeply loss-making -n/m for multiples</t>
  </si>
  <si>
    <t>DoorDash 11.3% = Eternal's steady-state target</t>
  </si>
  <si>
    <t>DoorDash $935M FY25 net income × 84</t>
  </si>
  <si>
    <t>SECTION 3 — TRADING MULTIPLES</t>
  </si>
  <si>
    <t>Multiple</t>
  </si>
  <si>
    <t>Eternal</t>
  </si>
  <si>
    <t>Swiggy</t>
  </si>
  <si>
    <t>DoorDash</t>
  </si>
  <si>
    <t>Peer Median</t>
  </si>
  <si>
    <t>EV / Revenue - LTM (FY25A)</t>
  </si>
  <si>
    <t>11.1x</t>
  </si>
  <si>
    <t>6.1x</t>
  </si>
  <si>
    <t>0.5x</t>
  </si>
  <si>
    <t>5.8x</t>
  </si>
  <si>
    <t>Eternal 83% premium vs peers — Blinkit QC optionality</t>
  </si>
  <si>
    <t>EV / Revenue - NTM (FY26E)</t>
  </si>
  <si>
    <t>7.5x</t>
  </si>
  <si>
    <t>4.5x</t>
  </si>
  <si>
    <t>4.1x</t>
  </si>
  <si>
    <t>4.3x</t>
  </si>
  <si>
    <t>Eternal still at significant premium even on NTM</t>
  </si>
  <si>
    <t>EV / Adj. EBITDA - NTM</t>
  </si>
  <si>
    <t>96.6x</t>
  </si>
  <si>
    <t>34.5x</t>
  </si>
  <si>
    <t>Swiggy negative EBITDA → n/m; DoorDash = benchmark</t>
  </si>
  <si>
    <t>P/E - NTM</t>
  </si>
  <si>
    <t>239x</t>
  </si>
  <si>
    <t>55x</t>
  </si>
  <si>
    <t>All high-growth; P/E less meaningful here</t>
  </si>
  <si>
    <t>EV / B2C GOV (FY25A)</t>
  </si>
  <si>
    <t>3.0x</t>
  </si>
  <si>
    <t>2.0x</t>
  </si>
  <si>
    <t>0.7x</t>
  </si>
  <si>
    <t>1.5x</t>
  </si>
  <si>
    <t>India premium justified by higher GOV growth rate</t>
  </si>
  <si>
    <t>SECTION 4 — IMPLIED VALUATION FOR ETERNAL (Applying Peer Multiples to FY26E)</t>
  </si>
  <si>
    <t>Multiple Applied</t>
  </si>
  <si>
    <t>Eternal FY26E Metric (₹ Cr)</t>
  </si>
  <si>
    <t>Implied EV (₹ Cr)</t>
  </si>
  <si>
    <t>Implied Price (₹)</t>
  </si>
  <si>
    <t>vs CMP ₹249</t>
  </si>
  <si>
    <t>EV/Revenue 4.0x (Peer Median)</t>
  </si>
  <si>
    <t>EV/Revenue 5.0x (75th Pct)</t>
  </si>
  <si>
    <t>EV/Revenue 7.5x (Eternal Current NTM)</t>
  </si>
  <si>
    <t>EV/Revenue 9.0x (Growth Premium)</t>
  </si>
  <si>
    <t>EV/EBITDA 34.5x (DoorDash benchmark)</t>
  </si>
  <si>
    <t>EV/EBITDA 50x</t>
  </si>
  <si>
    <t>EV/EBITDA 75x</t>
  </si>
  <si>
    <t>SECTION 5 — KEY ANALYTICAL OBSERVATIONS</t>
  </si>
  <si>
    <t>1. ETERNAL INDIA PREMIUM: Eternal at 7.5x NTM EV/Revenue vs DoorDash 4.1x (+83%). Justified by: (a) India food delivery secular growth &gt;&gt;US, (b) Blinkit = unique QC asset with no DoorDash equivalent, (c) Hyperpure B2B vertical integration adding ecosystem depth.</t>
  </si>
  <si>
    <t>2. SWIGGY DISCOUNT: Swiggy at 4.5x NTM vs Eternal 7.5x (−40%). Reason: Swiggy EBITDA deeply negative (−24.8% margin FY25 vs Eternal +7.1%), losing QC market share to Blinkit (Instamart stores: 700 vs Blinkit 1,301 as of FY25), no equivalent to Hyperpure.</t>
  </si>
  <si>
    <t>3. DOORDASH TRAJECTORY: DoorDash reached 11.3% Adj EBITDA margin on $13.7B revenue FY2025 - this is Eternal's ~FY28-29 destination. Eternal at 7.1% margin FY25 is 3 years behind DoorDash's margin trajectory. This justifies premium vs DoorDash.</t>
  </si>
  <si>
    <t>4. DCF vs COMPS GAP: DCF gives ₹96–₹137 (discount to CMP ₹249). EV/Revenue comps give ₹144–₹290 (straddles CMP). Gap = market pricing in Blinkit hitting 5-6% NOV margins on ₹2L Cr+ NOV beyond FY34. Comps support current valuation; DCF does not - typical for high-growth phase.</t>
  </si>
  <si>
    <t>5. INVESTMENT THESIS: Stock is FULLY PRICED at ₹249 on a conservative DCF. However, if Blinkit achieves 6% margins on ₹2L Cr NOV by FY32-33 (DoorDash-like trajectory), intrinsic value = ₹300-350. ACCUMULATE below ₹200 (&gt;25% MoS), HOLD at ₹200-250, REDUCE above ₹300.</t>
  </si>
  <si>
    <t>Cost &amp; Margin - ETERNAL LIMITED</t>
  </si>
  <si>
    <t>Revenue Bridge</t>
  </si>
  <si>
    <t>Total Revenue (₹ Cr)</t>
  </si>
  <si>
    <t>YoY Growth %</t>
  </si>
  <si>
    <t>Revenue CAGR FY22–FY25</t>
  </si>
  <si>
    <t>Revenue CAGR FY25–FY29E</t>
  </si>
  <si>
    <t>Gross Margin Analysis</t>
  </si>
  <si>
    <t>Stock Purchases</t>
  </si>
  <si>
    <t>Delivery &amp; Fulfilment</t>
  </si>
  <si>
    <t>Operating Cost Breakdown (% of Revenue)</t>
  </si>
  <si>
    <t>Delivery &amp; Fulfilment %</t>
  </si>
  <si>
    <t>Advertising &amp; Marketing %</t>
  </si>
  <si>
    <t>Cash Employee %</t>
  </si>
  <si>
    <t>ESOP %</t>
  </si>
  <si>
    <t>Technology %</t>
  </si>
  <si>
    <t>Total Cost % (ex D&amp;A, Finance)</t>
  </si>
  <si>
    <t xml:space="preserve"> EBITDA Bridge (Waterfall Data)</t>
  </si>
  <si>
    <t>Revenue</t>
  </si>
  <si>
    <t>Less: Stock &amp; Inventory</t>
  </si>
  <si>
    <t>Less: Delivery</t>
  </si>
  <si>
    <t>= Gross Profit</t>
  </si>
  <si>
    <t>Less: Cash Employee</t>
  </si>
  <si>
    <t>Less: ESOP</t>
  </si>
  <si>
    <t>Less: Marketing</t>
  </si>
  <si>
    <t>Less: Tech</t>
  </si>
  <si>
    <t>Less: Other OpEx</t>
  </si>
  <si>
    <t>= Adj EBITDA</t>
  </si>
  <si>
    <t>Cost Efficiency KPIs</t>
  </si>
  <si>
    <t>Cost per Employee (₹ '000)</t>
  </si>
  <si>
    <t>Marketing Cost per Order (₹)</t>
  </si>
  <si>
    <t>Delivery Cost per Order (₹)</t>
  </si>
  <si>
    <t>Technology Cost per MTU (₹/yr)</t>
  </si>
  <si>
    <t xml:space="preserve"> DARK STORE ECONOMICS MODEL</t>
  </si>
  <si>
    <t>Mature Store</t>
  </si>
  <si>
    <t>New Store</t>
  </si>
  <si>
    <t>Target</t>
  </si>
  <si>
    <t>Store Size (sqft)</t>
  </si>
  <si>
    <t>2,500-3,500</t>
  </si>
  <si>
    <t>Expanding</t>
  </si>
  <si>
    <t>SKUs</t>
  </si>
  <si>
    <t>8k-12k</t>
  </si>
  <si>
    <t>3k–5k</t>
  </si>
  <si>
    <t>Increasing</t>
  </si>
  <si>
    <t>Daily Orders</t>
  </si>
  <si>
    <t>600-800</t>
  </si>
  <si>
    <t>200–300</t>
  </si>
  <si>
    <t>AOV (INR)</t>
  </si>
  <si>
    <t>650-700</t>
  </si>
  <si>
    <t>550–600</t>
  </si>
  <si>
    <t>Monthly GOV (₹ Lakh)</t>
  </si>
  <si>
    <t>126-168</t>
  </si>
  <si>
    <t>33–54</t>
  </si>
  <si>
    <t>Rent (₹ Lakh)</t>
  </si>
  <si>
    <t>2.5-4.0</t>
  </si>
  <si>
    <t>2.0–3.0</t>
  </si>
  <si>
    <t>Staff Cost (₹ Lakh)</t>
  </si>
  <si>
    <t>4.0-6.0</t>
  </si>
  <si>
    <t>3.0–4.0</t>
  </si>
  <si>
    <t>Other Opex (₹ Lakh)</t>
  </si>
  <si>
    <t>2.0-3.0</t>
  </si>
  <si>
    <t>1.5–2.0</t>
  </si>
  <si>
    <t>Store EBITDA (₹ Lakh)</t>
  </si>
  <si>
    <t>+8 to +15</t>
  </si>
  <si>
    <t>(2) to (1)</t>
  </si>
  <si>
    <t>EBITDA Margin</t>
  </si>
  <si>
    <t>5-10%</t>
  </si>
  <si>
    <t>Negative</t>
  </si>
  <si>
    <t>5-6%</t>
  </si>
  <si>
    <t>Payback (months)</t>
  </si>
  <si>
    <t>18-24</t>
  </si>
  <si>
    <t>ROCE</t>
  </si>
  <si>
    <t>40-60%</t>
  </si>
  <si>
    <t>40%+</t>
  </si>
  <si>
    <t>Segment Profit &amp; Loss - ETERNAL LIMITED</t>
  </si>
  <si>
    <t>FOOD DELIVERY SEGMENT</t>
  </si>
  <si>
    <t>Net Order Value (₹ Cr)</t>
  </si>
  <si>
    <t>GOV Growth %</t>
  </si>
  <si>
    <t>Platform Revenue (₹ Cr)</t>
  </si>
  <si>
    <t>Take Rate (Rev ÷ GOV)</t>
  </si>
  <si>
    <t>Adj Revenue as % GOV</t>
  </si>
  <si>
    <t>n/d</t>
  </si>
  <si>
    <t>Contribution Margin % NOV</t>
  </si>
  <si>
    <t>1.7% (GOV)</t>
  </si>
  <si>
    <t>Adj. EBITDA Margin % NOV</t>
  </si>
  <si>
    <t>Number of Orders (mn)</t>
  </si>
  <si>
    <t>Monthly Transacting Users (mn)</t>
  </si>
  <si>
    <t>NAOV (₹)</t>
  </si>
  <si>
    <t>Active Restaurants ('000)</t>
  </si>
  <si>
    <t>BLINKIT SEGMENT</t>
  </si>
  <si>
    <t>120+</t>
  </si>
  <si>
    <t>150+</t>
  </si>
  <si>
    <t>175+</t>
  </si>
  <si>
    <t>NOV Growth %</t>
  </si>
  <si>
    <t>Take Rate (Rev ÷ NOV)</t>
  </si>
  <si>
    <t>NOV per Store per Day (₹ '000)</t>
  </si>
  <si>
    <t>Capex per New Store (₹ Cr)</t>
  </si>
  <si>
    <t>Implied ROCE %</t>
  </si>
  <si>
    <t>HYPERPURE SEGMENT</t>
  </si>
  <si>
    <t>Unique Restaurant Partners</t>
  </si>
  <si>
    <t>GOING-OUT SEGMENT</t>
  </si>
  <si>
    <t>Revenue % of NOV</t>
  </si>
  <si>
    <t>Adj. EBITDA Margin % (NOV)</t>
  </si>
  <si>
    <t>CONSOLIDATED SEGMENT SUMMARY</t>
  </si>
  <si>
    <t>Food Delivery Revenue</t>
  </si>
  <si>
    <t>Blinkit Revenue</t>
  </si>
  <si>
    <t>Hyperpure Revenue</t>
  </si>
  <si>
    <t>District Revenue</t>
  </si>
  <si>
    <t>Total Adj. EBITDA (₹ Cr)</t>
  </si>
  <si>
    <t>Food Delivery EBITDA</t>
  </si>
  <si>
    <t>Blinkit EBITDA</t>
  </si>
  <si>
    <t>Hyperpure EBITDA</t>
  </si>
  <si>
    <t>District EBITDA</t>
  </si>
  <si>
    <t>Total B2C GOV (₹ Cr)</t>
  </si>
  <si>
    <t>Group Revenue CAGR (FY25–29E)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</si>
</sst>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quot;$&quot;#,##0_);[Red]\(&quot;$&quot;#,##0\)"/>
    <numFmt numFmtId="165" formatCode="_(* #,##0_);_(* \(#,##0\);_(* &quot;-&quot;_);_(@_)"/>
    <numFmt numFmtId="166" formatCode="_(* #,##0.00_);_(* \(#,##0.00\);_(* &quot;-&quot;??_);_(@_)"/>
    <numFmt numFmtId="167" formatCode="_(* #,##0.0_);_(* \(#,##0.0\);_(* &quot;-&quot;?_);_(@_)"/>
    <numFmt numFmtId="168" formatCode="_(* #,##0_);_(* \(#,##0\);_(* &quot;-&quot;??_);_(@_)"/>
    <numFmt numFmtId="169" formatCode="0.0%"/>
    <numFmt numFmtId="170" formatCode="0.0_);\(0.0\)"/>
    <numFmt numFmtId="171" formatCode="0.0"/>
    <numFmt numFmtId="172" formatCode="_(* #,##0.0_);_(* \(#,##0.0\);_(* &quot;-&quot;??_);_(@_)"/>
    <numFmt numFmtId="173" formatCode="_(* #,##0.00_);_(* \(#,##0.00\);_(* &quot;-&quot;_);_(@_)"/>
    <numFmt numFmtId="174" formatCode="0_);\(0\)"/>
    <numFmt numFmtId="175" formatCode="_-* #,##0.0_-;\-* #,##0.0_-;_-* &quot;-&quot;?_-;_-@_-"/>
    <numFmt numFmtId="176" formatCode="_(* #,##0.0_);_(* \(#,##0.0\);_(* &quot;-&quot;_);_(@_)"/>
    <numFmt numFmtId="177" formatCode="_-* #,##0_-;\-* #,##0_-;_-* &quot;-&quot;??_-;_-@_-"/>
    <numFmt numFmtId="178" formatCode="[$-809]dd\ mmmm\ yyyy;@"/>
  </numFmts>
  <fonts count="81">
    <font>
      <sz val="11"/>
      <color theme="1"/>
      <name val="Calibri"/>
      <family val="2"/>
      <scheme val="minor"/>
    </font>
    <font>
      <sz val="11"/>
      <color theme="1"/>
      <name val="Calibri"/>
      <scheme val="minor"/>
    </font>
    <font>
      <sz val="11"/>
      <color theme="1"/>
      <name val="Calibri"/>
      <scheme val="minor"/>
    </font>
    <font>
      <b/>
      <sz val="11"/>
      <color theme="1"/>
      <name val="Calibri"/>
      <family val="2"/>
      <scheme val="minor"/>
    </font>
    <font>
      <i/>
      <sz val="11"/>
      <color theme="1" tint="0.499984740745262"/>
      <name val="Calibri"/>
      <family val="2"/>
      <scheme val="minor"/>
    </font>
    <font>
      <b/>
      <i/>
      <sz val="11"/>
      <color theme="1" tint="0.499984740745262"/>
      <name val="Calibri"/>
      <family val="2"/>
      <scheme val="minor"/>
    </font>
    <font>
      <sz val="10"/>
      <color theme="1"/>
      <name val="Calibri"/>
      <charset val="1"/>
    </font>
    <font>
      <i/>
      <sz val="11"/>
      <color theme="1"/>
      <name val="Calibri"/>
      <family val="2"/>
      <scheme val="minor"/>
    </font>
    <font>
      <b/>
      <sz val="13.5"/>
      <color theme="1"/>
      <name val="Calibri"/>
      <family val="2"/>
      <scheme val="minor"/>
    </font>
    <font>
      <i/>
      <sz val="10"/>
      <color rgb="FF606060"/>
      <name val="Arial"/>
      <charset val="1"/>
    </font>
    <font>
      <i/>
      <sz val="10"/>
      <color theme="1" tint="0.499984740745262"/>
      <name val="Arial"/>
      <charset val="1"/>
    </font>
    <font>
      <u/>
      <sz val="11"/>
      <color theme="10"/>
      <name val="Calibri"/>
      <family val="2"/>
      <scheme val="minor"/>
    </font>
    <font>
      <sz val="12"/>
      <color rgb="FF0A0A0A"/>
      <name val="Google Sans"/>
      <charset val="1"/>
    </font>
    <font>
      <sz val="11"/>
      <color rgb="FF000000"/>
      <name val="Calibri"/>
      <scheme val="minor"/>
    </font>
    <font>
      <sz val="10"/>
      <color theme="1"/>
      <name val="Calibri"/>
      <scheme val="minor"/>
    </font>
    <font>
      <sz val="10"/>
      <color rgb="FF0000FF"/>
      <name val="Calibri"/>
      <scheme val="minor"/>
    </font>
    <font>
      <i/>
      <sz val="11"/>
      <color theme="1" tint="0.499984740745262"/>
      <name val="Calibri"/>
      <scheme val="minor"/>
    </font>
    <font>
      <sz val="11"/>
      <color rgb="FF0000FF"/>
      <name val="Calibri"/>
      <scheme val="minor"/>
    </font>
    <font>
      <sz val="10"/>
      <color rgb="FF000000"/>
      <name val="Cambria"/>
    </font>
    <font>
      <sz val="11"/>
      <color rgb="FF0000FF"/>
      <name val="Calibri"/>
      <family val="2"/>
      <scheme val="minor"/>
    </font>
    <font>
      <b/>
      <sz val="12"/>
      <color rgb="FFFFFFFF"/>
      <name val="Cambria"/>
    </font>
    <font>
      <sz val="10"/>
      <color theme="1" tint="0.249977111117893"/>
      <name val="Cambria"/>
    </font>
    <font>
      <b/>
      <sz val="10"/>
      <color rgb="FFFFFFFF"/>
      <name val="Cambria"/>
    </font>
    <font>
      <sz val="10"/>
      <color theme="1"/>
      <name val="Cambria"/>
    </font>
    <font>
      <sz val="10"/>
      <color theme="4"/>
      <name val="Cambria"/>
    </font>
    <font>
      <b/>
      <sz val="10"/>
      <color theme="1"/>
      <name val="Cambria"/>
    </font>
    <font>
      <sz val="11"/>
      <color theme="1"/>
      <name val="Cambria"/>
    </font>
    <font>
      <sz val="10"/>
      <color rgb="FF0000FF"/>
      <name val="Cambria"/>
    </font>
    <font>
      <b/>
      <sz val="10"/>
      <color rgb="FF000000"/>
      <name val="Cambria"/>
    </font>
    <font>
      <i/>
      <sz val="10"/>
      <color rgb="FF666666"/>
      <name val="Cambria"/>
    </font>
    <font>
      <i/>
      <sz val="10"/>
      <color theme="1" tint="0.499984740745262"/>
      <name val="Cambria"/>
    </font>
    <font>
      <i/>
      <sz val="10"/>
      <color theme="1"/>
      <name val="Cambria"/>
    </font>
    <font>
      <sz val="10"/>
      <color rgb="FF0070C0"/>
      <name val="Cambria"/>
    </font>
    <font>
      <i/>
      <sz val="10"/>
      <color rgb="FF1F3864"/>
      <name val="Cambria"/>
    </font>
    <font>
      <b/>
      <sz val="11"/>
      <color rgb="FFFFFFFF"/>
      <name val="Cambria"/>
    </font>
    <font>
      <sz val="9"/>
      <color rgb="FF808080"/>
      <name val="Cambria"/>
    </font>
    <font>
      <sz val="10"/>
      <color rgb="FF008000"/>
      <name val="Cambria"/>
    </font>
    <font>
      <sz val="9"/>
      <color rgb="FF666666"/>
      <name val="Cambria"/>
    </font>
    <font>
      <sz val="10"/>
      <color rgb="FF666666"/>
      <name val="Cambria"/>
    </font>
    <font>
      <sz val="10"/>
      <color rgb="FF1F3864"/>
      <name val="Cambria"/>
    </font>
    <font>
      <b/>
      <sz val="10"/>
      <color theme="0"/>
      <name val="Cambria"/>
    </font>
    <font>
      <sz val="11"/>
      <color rgb="FF0000FF"/>
      <name val="Cambria"/>
    </font>
    <font>
      <sz val="10"/>
      <color rgb="FF00008B"/>
      <name val="Cambria"/>
    </font>
    <font>
      <i/>
      <sz val="10"/>
      <color rgb="FF000000"/>
      <name val="Cambria"/>
    </font>
    <font>
      <i/>
      <sz val="11"/>
      <color rgb="FF808080"/>
      <name val="Cambria"/>
    </font>
    <font>
      <i/>
      <sz val="10"/>
      <color rgb="FF555555"/>
      <name val="Cambria"/>
    </font>
    <font>
      <b/>
      <i/>
      <sz val="10"/>
      <color theme="1" tint="0.499984740745262"/>
      <name val="Cambria"/>
    </font>
    <font>
      <sz val="10"/>
      <color rgb="FF999999"/>
      <name val="Cambria"/>
    </font>
    <font>
      <i/>
      <sz val="10"/>
      <color rgb="FF606060"/>
      <name val="Cambria"/>
    </font>
    <font>
      <b/>
      <sz val="10"/>
      <color rgb="FFC0392B"/>
      <name val="Cambria"/>
    </font>
    <font>
      <b/>
      <sz val="10"/>
      <color rgb="FF0000FF"/>
      <name val="Cambria"/>
    </font>
    <font>
      <sz val="10"/>
      <color theme="1" tint="0.499984740745262"/>
      <name val="Cambria"/>
    </font>
    <font>
      <sz val="11"/>
      <color rgb="FF000000"/>
      <name val="Cambria"/>
    </font>
    <font>
      <b/>
      <sz val="13"/>
      <color rgb="FFFFFFFF"/>
      <name val="Cambria"/>
    </font>
    <font>
      <sz val="11"/>
      <color theme="1" tint="0.249977111117893"/>
      <name val="Cambria"/>
    </font>
    <font>
      <i/>
      <sz val="11"/>
      <color theme="1" tint="0.499984740745262"/>
      <name val="Cambria"/>
    </font>
    <font>
      <b/>
      <sz val="11"/>
      <color theme="1"/>
      <name val="Cambria"/>
    </font>
    <font>
      <b/>
      <sz val="13.5"/>
      <color theme="1"/>
      <name val="Cambria"/>
    </font>
    <font>
      <b/>
      <sz val="11"/>
      <color rgb="FF0000FF"/>
      <name val="Cambria"/>
    </font>
    <font>
      <b/>
      <sz val="13"/>
      <color theme="0"/>
      <name val="Cambria"/>
    </font>
    <font>
      <sz val="13"/>
      <color theme="0"/>
      <name val="Cambria"/>
    </font>
    <font>
      <b/>
      <i/>
      <sz val="11"/>
      <color theme="1" tint="0.499984740745262"/>
      <name val="Cambria"/>
    </font>
    <font>
      <b/>
      <sz val="11"/>
      <color rgb="FF000000"/>
      <name val="Cambria"/>
    </font>
    <font>
      <i/>
      <sz val="11"/>
      <color rgb="FF000000"/>
      <name val="Cambria"/>
    </font>
    <font>
      <b/>
      <sz val="11"/>
      <color theme="0"/>
      <name val="Cambria"/>
    </font>
    <font>
      <b/>
      <sz val="24"/>
      <color rgb="FFFFFFFF"/>
      <name val="Cambria"/>
    </font>
    <font>
      <b/>
      <sz val="18"/>
      <color rgb="FFFFFFFF"/>
      <name val="Cambria"/>
    </font>
    <font>
      <b/>
      <sz val="16"/>
      <color theme="0"/>
      <name val="Cambria"/>
    </font>
    <font>
      <sz val="11"/>
      <color theme="0"/>
      <name val="Cambria"/>
    </font>
    <font>
      <sz val="11"/>
      <color rgb="FFFFFFFF"/>
      <name val="Cambria"/>
    </font>
    <font>
      <sz val="12"/>
      <color rgb="FFFFFFFF"/>
      <name val="Cambria"/>
    </font>
    <font>
      <b/>
      <sz val="16"/>
      <color rgb="FFFFFFFF"/>
      <name val="Cambria"/>
    </font>
    <font>
      <sz val="9"/>
      <color theme="1" tint="0.499984740745262"/>
      <name val="Cambria"/>
    </font>
    <font>
      <u/>
      <sz val="10"/>
      <color theme="10"/>
      <name val="Cambria"/>
    </font>
    <font>
      <sz val="12"/>
      <color rgb="FF404040"/>
      <name val="Cambria"/>
    </font>
    <font>
      <i/>
      <sz val="9"/>
      <color theme="1" tint="0.499984740745262"/>
      <name val="Cambria"/>
    </font>
    <font>
      <i/>
      <sz val="11"/>
      <color rgb="FF666666"/>
      <name val="Cambria"/>
    </font>
    <font>
      <sz val="12"/>
      <color theme="1"/>
      <name val="Cambria"/>
    </font>
    <font>
      <i/>
      <sz val="9"/>
      <color rgb="FF1F3864"/>
      <name val="Cambria"/>
    </font>
    <font>
      <b/>
      <sz val="9"/>
      <color rgb="FF000000"/>
      <name val="Cambria"/>
    </font>
    <font>
      <i/>
      <sz val="9"/>
      <color rgb="FF666666"/>
      <name val="Cambria"/>
    </font>
  </fonts>
  <fills count="16">
    <fill>
      <patternFill patternType="none"/>
    </fill>
    <fill>
      <patternFill patternType="gray125"/>
    </fill>
    <fill>
      <patternFill patternType="solid">
        <fgColor rgb="FFF2F2F2"/>
        <bgColor indexed="64"/>
      </patternFill>
    </fill>
    <fill>
      <patternFill patternType="solid">
        <fgColor theme="0"/>
        <bgColor indexed="64"/>
      </patternFill>
    </fill>
    <fill>
      <patternFill patternType="solid">
        <fgColor theme="0" tint="-4.9989318521683403E-2"/>
        <bgColor indexed="64"/>
      </patternFill>
    </fill>
    <fill>
      <patternFill patternType="solid">
        <fgColor rgb="FF142538"/>
        <bgColor indexed="64"/>
      </patternFill>
    </fill>
    <fill>
      <patternFill patternType="solid">
        <fgColor rgb="FF1B3A5C"/>
        <bgColor indexed="64"/>
      </patternFill>
    </fill>
    <fill>
      <patternFill patternType="solid">
        <fgColor rgb="FF1F3864"/>
        <bgColor indexed="64"/>
      </patternFill>
    </fill>
    <fill>
      <patternFill patternType="solid">
        <fgColor rgb="FFE2EFDA"/>
        <bgColor indexed="64"/>
      </patternFill>
    </fill>
    <fill>
      <patternFill patternType="solid">
        <fgColor rgb="FFBDD7EE"/>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rgb="FFD3E2F0"/>
        <bgColor indexed="64"/>
      </patternFill>
    </fill>
    <fill>
      <patternFill patternType="solid">
        <fgColor rgb="FFF5FAFF"/>
        <bgColor indexed="64"/>
      </patternFill>
    </fill>
    <fill>
      <patternFill patternType="solid">
        <fgColor rgb="FFFFFFFF"/>
        <bgColor indexed="64"/>
      </patternFill>
    </fill>
  </fills>
  <borders count="24">
    <border>
      <left/>
      <right/>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double">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xf numFmtId="0" fontId="11" fillId="0" borderId="0" applyNumberFormat="0" applyFill="0" applyBorder="0" applyAlignment="0" applyProtection="0"/>
  </cellStyleXfs>
  <cellXfs count="836">
    <xf numFmtId="0" fontId="0" fillId="0" borderId="0" xfId="0"/>
    <xf numFmtId="0" fontId="0" fillId="3" borderId="0" xfId="0" applyFill="1"/>
    <xf numFmtId="0" fontId="3" fillId="0" borderId="0" xfId="0" applyFont="1"/>
    <xf numFmtId="0" fontId="4" fillId="0" borderId="0" xfId="0" applyFont="1"/>
    <xf numFmtId="0" fontId="5" fillId="0" borderId="0" xfId="0" applyFont="1"/>
    <xf numFmtId="0" fontId="6" fillId="0" borderId="0" xfId="0" applyFont="1"/>
    <xf numFmtId="0" fontId="3" fillId="0" borderId="0" xfId="0" applyFont="1" applyAlignment="1">
      <alignment wrapText="1"/>
    </xf>
    <xf numFmtId="0" fontId="0" fillId="0" borderId="0" xfId="0" applyAlignment="1">
      <alignment wrapText="1"/>
    </xf>
    <xf numFmtId="10" fontId="7" fillId="0" borderId="0" xfId="0" applyNumberFormat="1" applyFont="1"/>
    <xf numFmtId="3" fontId="0" fillId="0" borderId="0" xfId="0" applyNumberFormat="1" applyAlignment="1">
      <alignment horizontal="right"/>
    </xf>
    <xf numFmtId="0" fontId="0" fillId="0" borderId="0" xfId="0" applyAlignment="1">
      <alignment horizontal="right"/>
    </xf>
    <xf numFmtId="0" fontId="0" fillId="0" borderId="0" xfId="0" applyFont="1"/>
    <xf numFmtId="0" fontId="5" fillId="0" borderId="0" xfId="0" applyNumberFormat="1" applyFont="1"/>
    <xf numFmtId="0" fontId="4" fillId="0" borderId="0" xfId="0" applyNumberFormat="1" applyFont="1"/>
    <xf numFmtId="3" fontId="3" fillId="0" borderId="0" xfId="0" applyNumberFormat="1" applyFont="1"/>
    <xf numFmtId="0" fontId="5" fillId="0" borderId="0" xfId="0" applyNumberFormat="1" applyFont="1" applyAlignment="1">
      <alignment horizontal="right"/>
    </xf>
    <xf numFmtId="0" fontId="4" fillId="0" borderId="0" xfId="0" applyNumberFormat="1" applyFont="1" applyAlignment="1">
      <alignment horizontal="right"/>
    </xf>
    <xf numFmtId="10" fontId="0" fillId="0" borderId="0" xfId="0" applyNumberFormat="1"/>
    <xf numFmtId="10" fontId="3" fillId="0" borderId="0" xfId="0" applyNumberFormat="1" applyFont="1"/>
    <xf numFmtId="9" fontId="3" fillId="0" borderId="0" xfId="0" applyNumberFormat="1" applyFont="1"/>
    <xf numFmtId="0" fontId="0" fillId="0" borderId="0" xfId="0" applyBorder="1"/>
    <xf numFmtId="0" fontId="6" fillId="0" borderId="0" xfId="0" applyFont="1" applyBorder="1"/>
    <xf numFmtId="0" fontId="9" fillId="0" borderId="0" xfId="0" applyFont="1" applyAlignment="1"/>
    <xf numFmtId="0" fontId="9" fillId="0" borderId="0" xfId="0" applyFont="1" applyBorder="1" applyAlignment="1">
      <alignment wrapText="1"/>
    </xf>
    <xf numFmtId="0" fontId="8" fillId="0" borderId="0" xfId="0" applyFont="1" applyAlignment="1">
      <alignment wrapText="1"/>
    </xf>
    <xf numFmtId="0" fontId="12" fillId="0" borderId="0" xfId="0" applyFont="1"/>
    <xf numFmtId="166" fontId="4" fillId="0" borderId="0" xfId="0" applyNumberFormat="1" applyFont="1"/>
    <xf numFmtId="0" fontId="6" fillId="3" borderId="0" xfId="0" applyFont="1" applyFill="1"/>
    <xf numFmtId="0" fontId="0" fillId="0" borderId="0" xfId="0" applyAlignment="1"/>
    <xf numFmtId="0" fontId="14" fillId="0" borderId="0" xfId="0" applyFont="1"/>
    <xf numFmtId="0" fontId="16" fillId="0" borderId="0" xfId="0" applyFont="1"/>
    <xf numFmtId="165" fontId="13" fillId="0" borderId="0" xfId="0" applyNumberFormat="1" applyFont="1" applyAlignment="1">
      <alignment horizontal="right"/>
    </xf>
    <xf numFmtId="169" fontId="4" fillId="0" borderId="0" xfId="0" applyNumberFormat="1" applyFont="1"/>
    <xf numFmtId="169" fontId="12" fillId="0" borderId="0" xfId="0" applyNumberFormat="1" applyFont="1"/>
    <xf numFmtId="165" fontId="0" fillId="0" borderId="0" xfId="0" applyNumberFormat="1"/>
    <xf numFmtId="0" fontId="2" fillId="0" borderId="0" xfId="0" applyFont="1"/>
    <xf numFmtId="0" fontId="14" fillId="3" borderId="0" xfId="0" applyFont="1" applyFill="1"/>
    <xf numFmtId="0" fontId="4" fillId="3" borderId="0" xfId="0" applyFont="1" applyFill="1"/>
    <xf numFmtId="169" fontId="17" fillId="0" borderId="0" xfId="0" applyNumberFormat="1" applyFont="1" applyAlignment="1">
      <alignment horizontal="right"/>
    </xf>
    <xf numFmtId="0" fontId="3" fillId="3" borderId="0" xfId="0" applyFont="1" applyFill="1" applyAlignment="1">
      <alignment wrapText="1"/>
    </xf>
    <xf numFmtId="0" fontId="0" fillId="3" borderId="0" xfId="0" applyFill="1" applyAlignment="1">
      <alignment wrapText="1"/>
    </xf>
    <xf numFmtId="0" fontId="19" fillId="0" borderId="0" xfId="0" applyFont="1"/>
    <xf numFmtId="165" fontId="4" fillId="0" borderId="0" xfId="0" applyNumberFormat="1" applyFont="1"/>
    <xf numFmtId="175" fontId="0" fillId="0" borderId="0" xfId="0" applyNumberFormat="1"/>
    <xf numFmtId="176" fontId="17" fillId="0" borderId="0" xfId="0" applyNumberFormat="1" applyFont="1" applyAlignment="1">
      <alignment horizontal="right"/>
    </xf>
    <xf numFmtId="0" fontId="10" fillId="0" borderId="0" xfId="0" applyFont="1" applyAlignment="1">
      <alignment horizontal="center" wrapText="1"/>
    </xf>
    <xf numFmtId="10" fontId="4" fillId="0" borderId="0" xfId="0" applyNumberFormat="1" applyFont="1"/>
    <xf numFmtId="3" fontId="5" fillId="0" borderId="0" xfId="0" applyNumberFormat="1" applyFont="1"/>
    <xf numFmtId="10" fontId="5" fillId="0" borderId="0" xfId="0" applyNumberFormat="1" applyFont="1"/>
    <xf numFmtId="0" fontId="21" fillId="2" borderId="0" xfId="0" applyFont="1" applyFill="1" applyAlignment="1">
      <alignment horizontal="left" vertical="center"/>
    </xf>
    <xf numFmtId="165" fontId="21" fillId="2" borderId="0" xfId="0" applyNumberFormat="1" applyFont="1" applyFill="1" applyAlignment="1">
      <alignment horizontal="right" vertical="center"/>
    </xf>
    <xf numFmtId="0" fontId="21" fillId="3" borderId="0" xfId="0" applyFont="1" applyFill="1" applyAlignment="1">
      <alignment horizontal="left" vertical="center"/>
    </xf>
    <xf numFmtId="165" fontId="21" fillId="3" borderId="0" xfId="0" applyNumberFormat="1" applyFont="1" applyFill="1" applyAlignment="1">
      <alignment horizontal="right" vertical="center"/>
    </xf>
    <xf numFmtId="0" fontId="23" fillId="0" borderId="0" xfId="0" applyFont="1" applyAlignment="1">
      <alignment wrapText="1"/>
    </xf>
    <xf numFmtId="174" fontId="18" fillId="0" borderId="0" xfId="0" applyNumberFormat="1" applyFont="1" applyAlignment="1">
      <alignment horizontal="right"/>
    </xf>
    <xf numFmtId="10" fontId="18" fillId="0" borderId="0" xfId="0" applyNumberFormat="1" applyFont="1" applyAlignment="1">
      <alignment horizontal="right"/>
    </xf>
    <xf numFmtId="0" fontId="24" fillId="0" borderId="0" xfId="0" applyFont="1" applyAlignment="1">
      <alignment horizontal="right"/>
    </xf>
    <xf numFmtId="0" fontId="25" fillId="0" borderId="0" xfId="0" applyFont="1" applyAlignment="1">
      <alignment wrapText="1"/>
    </xf>
    <xf numFmtId="3" fontId="24" fillId="0" borderId="0" xfId="0" applyNumberFormat="1" applyFont="1" applyAlignment="1">
      <alignment horizontal="right"/>
    </xf>
    <xf numFmtId="0" fontId="18" fillId="0" borderId="0" xfId="0" applyFont="1" applyAlignment="1">
      <alignment horizontal="right"/>
    </xf>
    <xf numFmtId="0" fontId="23" fillId="0" borderId="0" xfId="0" applyFont="1" applyBorder="1" applyAlignment="1">
      <alignment wrapText="1"/>
    </xf>
    <xf numFmtId="1" fontId="18" fillId="0" borderId="0" xfId="0" applyNumberFormat="1" applyFont="1" applyBorder="1" applyAlignment="1">
      <alignment horizontal="right"/>
    </xf>
    <xf numFmtId="0" fontId="23" fillId="0" borderId="2" xfId="0" applyFont="1" applyBorder="1" applyAlignment="1">
      <alignment wrapText="1"/>
    </xf>
    <xf numFmtId="1" fontId="18" fillId="0" borderId="2" xfId="0" applyNumberFormat="1" applyFont="1" applyBorder="1" applyAlignment="1">
      <alignment horizontal="right"/>
    </xf>
    <xf numFmtId="165" fontId="25" fillId="0" borderId="0" xfId="0" applyNumberFormat="1" applyFont="1" applyAlignment="1">
      <alignment horizontal="right"/>
    </xf>
    <xf numFmtId="0" fontId="23" fillId="0" borderId="0" xfId="0" applyFont="1" applyAlignment="1">
      <alignment horizontal="right"/>
    </xf>
    <xf numFmtId="3" fontId="23" fillId="0" borderId="0" xfId="0" applyNumberFormat="1" applyFont="1" applyAlignment="1">
      <alignment horizontal="right"/>
    </xf>
    <xf numFmtId="169" fontId="23" fillId="0" borderId="0" xfId="0" applyNumberFormat="1" applyFont="1" applyAlignment="1">
      <alignment horizontal="right"/>
    </xf>
    <xf numFmtId="1" fontId="23" fillId="0" borderId="0" xfId="0" applyNumberFormat="1" applyFont="1" applyAlignment="1">
      <alignment horizontal="right"/>
    </xf>
    <xf numFmtId="174" fontId="23" fillId="0" borderId="0" xfId="0" applyNumberFormat="1" applyFont="1" applyAlignment="1">
      <alignment horizontal="right"/>
    </xf>
    <xf numFmtId="165" fontId="23" fillId="0" borderId="0" xfId="0" applyNumberFormat="1" applyFont="1" applyAlignment="1">
      <alignment horizontal="right"/>
    </xf>
    <xf numFmtId="0" fontId="23" fillId="0" borderId="0" xfId="0" applyFont="1"/>
    <xf numFmtId="3" fontId="18" fillId="0" borderId="0" xfId="0" applyNumberFormat="1" applyFont="1" applyAlignment="1">
      <alignment horizontal="right"/>
    </xf>
    <xf numFmtId="169" fontId="18" fillId="0" borderId="0" xfId="0" applyNumberFormat="1" applyFont="1" applyAlignment="1">
      <alignment horizontal="right"/>
    </xf>
    <xf numFmtId="0" fontId="26" fillId="3" borderId="0" xfId="0" applyFont="1" applyFill="1"/>
    <xf numFmtId="0" fontId="25" fillId="0" borderId="0" xfId="0" applyFont="1" applyBorder="1"/>
    <xf numFmtId="174" fontId="18" fillId="0" borderId="0" xfId="0" applyNumberFormat="1" applyFont="1" applyBorder="1" applyAlignment="1">
      <alignment horizontal="right"/>
    </xf>
    <xf numFmtId="0" fontId="25" fillId="0" borderId="2" xfId="0" applyFont="1" applyBorder="1"/>
    <xf numFmtId="169" fontId="18" fillId="0" borderId="2" xfId="0" applyNumberFormat="1" applyFont="1" applyBorder="1" applyAlignment="1">
      <alignment horizontal="right"/>
    </xf>
    <xf numFmtId="0" fontId="23" fillId="3" borderId="0" xfId="0" applyFont="1" applyFill="1" applyAlignment="1">
      <alignment horizontal="left"/>
    </xf>
    <xf numFmtId="0" fontId="27" fillId="3" borderId="0" xfId="0" applyFont="1" applyFill="1" applyAlignment="1">
      <alignment horizontal="right"/>
    </xf>
    <xf numFmtId="0" fontId="18" fillId="3" borderId="0" xfId="0" applyFont="1" applyFill="1" applyAlignment="1">
      <alignment horizontal="right"/>
    </xf>
    <xf numFmtId="1" fontId="18" fillId="3" borderId="0" xfId="0" applyNumberFormat="1" applyFont="1" applyFill="1" applyAlignment="1">
      <alignment horizontal="right"/>
    </xf>
    <xf numFmtId="169" fontId="18" fillId="3" borderId="0" xfId="0" applyNumberFormat="1" applyFont="1" applyFill="1" applyAlignment="1">
      <alignment horizontal="right"/>
    </xf>
    <xf numFmtId="174" fontId="18" fillId="3" borderId="0" xfId="0" applyNumberFormat="1" applyFont="1" applyFill="1" applyAlignment="1">
      <alignment horizontal="right"/>
    </xf>
    <xf numFmtId="0" fontId="23" fillId="3" borderId="0" xfId="0" applyFont="1" applyFill="1" applyAlignment="1">
      <alignment horizontal="right"/>
    </xf>
    <xf numFmtId="3" fontId="28" fillId="0" borderId="0" xfId="0" applyNumberFormat="1" applyFont="1" applyAlignment="1">
      <alignment horizontal="right"/>
    </xf>
    <xf numFmtId="1" fontId="18" fillId="0" borderId="0" xfId="0" applyNumberFormat="1" applyFont="1" applyAlignment="1">
      <alignment horizontal="right"/>
    </xf>
    <xf numFmtId="174" fontId="18" fillId="0" borderId="0" xfId="0" applyNumberFormat="1" applyFont="1"/>
    <xf numFmtId="3" fontId="27" fillId="0" borderId="0" xfId="0" applyNumberFormat="1" applyFont="1" applyAlignment="1">
      <alignment horizontal="right"/>
    </xf>
    <xf numFmtId="3" fontId="27" fillId="0" borderId="0" xfId="0" applyNumberFormat="1" applyFont="1"/>
    <xf numFmtId="0" fontId="27" fillId="0" borderId="0" xfId="0" applyFont="1" applyAlignment="1">
      <alignment horizontal="right"/>
    </xf>
    <xf numFmtId="3" fontId="18" fillId="0" borderId="0" xfId="0" applyNumberFormat="1" applyFont="1"/>
    <xf numFmtId="0" fontId="23" fillId="0" borderId="0" xfId="0" applyFont="1" applyBorder="1"/>
    <xf numFmtId="10" fontId="18" fillId="0" borderId="0" xfId="0" applyNumberFormat="1" applyFont="1" applyBorder="1"/>
    <xf numFmtId="0" fontId="27" fillId="0" borderId="0" xfId="0" applyFont="1" applyBorder="1"/>
    <xf numFmtId="0" fontId="23" fillId="0" borderId="2" xfId="0" applyFont="1" applyBorder="1"/>
    <xf numFmtId="0" fontId="27" fillId="0" borderId="2" xfId="0" applyFont="1" applyBorder="1"/>
    <xf numFmtId="165" fontId="23" fillId="0" borderId="0" xfId="0" applyNumberFormat="1" applyFont="1" applyBorder="1" applyAlignment="1">
      <alignment horizontal="right"/>
    </xf>
    <xf numFmtId="37" fontId="18" fillId="0" borderId="0" xfId="0" applyNumberFormat="1" applyFont="1"/>
    <xf numFmtId="37" fontId="18" fillId="0" borderId="0" xfId="0" applyNumberFormat="1" applyFont="1" applyBorder="1"/>
    <xf numFmtId="10" fontId="23" fillId="0" borderId="0" xfId="0" applyNumberFormat="1" applyFont="1"/>
    <xf numFmtId="169" fontId="18" fillId="0" borderId="0" xfId="0" applyNumberFormat="1" applyFont="1"/>
    <xf numFmtId="10" fontId="18" fillId="0" borderId="0" xfId="0" applyNumberFormat="1" applyFont="1"/>
    <xf numFmtId="0" fontId="25" fillId="0" borderId="0" xfId="0" applyFont="1"/>
    <xf numFmtId="10" fontId="25" fillId="0" borderId="0" xfId="0" applyNumberFormat="1" applyFont="1"/>
    <xf numFmtId="0" fontId="23" fillId="0" borderId="0" xfId="0" quotePrefix="1" applyFont="1"/>
    <xf numFmtId="174" fontId="18" fillId="0" borderId="0" xfId="0" applyNumberFormat="1" applyFont="1" applyBorder="1"/>
    <xf numFmtId="0" fontId="23" fillId="0" borderId="0" xfId="0" quotePrefix="1" applyFont="1" applyBorder="1"/>
    <xf numFmtId="165" fontId="23" fillId="0" borderId="2" xfId="0" applyNumberFormat="1" applyFont="1" applyBorder="1" applyAlignment="1">
      <alignment horizontal="right"/>
    </xf>
    <xf numFmtId="0" fontId="27" fillId="0" borderId="0" xfId="0" applyFont="1"/>
    <xf numFmtId="0" fontId="27" fillId="0" borderId="0" xfId="0" applyFont="1" applyAlignment="1">
      <alignment horizontal="center"/>
    </xf>
    <xf numFmtId="0" fontId="25" fillId="0" borderId="3" xfId="0" applyFont="1" applyBorder="1" applyAlignment="1">
      <alignment wrapText="1"/>
    </xf>
    <xf numFmtId="0" fontId="25" fillId="0" borderId="3" xfId="0" applyFont="1" applyBorder="1" applyAlignment="1">
      <alignment horizontal="right"/>
    </xf>
    <xf numFmtId="165" fontId="25" fillId="0" borderId="3" xfId="0" applyNumberFormat="1" applyFont="1" applyBorder="1" applyAlignment="1">
      <alignment horizontal="right"/>
    </xf>
    <xf numFmtId="0" fontId="23" fillId="0" borderId="3" xfId="0" applyFont="1" applyBorder="1" applyAlignment="1">
      <alignment wrapText="1"/>
    </xf>
    <xf numFmtId="0" fontId="27" fillId="0" borderId="3" xfId="0" applyFont="1" applyBorder="1" applyAlignment="1">
      <alignment horizontal="right"/>
    </xf>
    <xf numFmtId="165" fontId="27" fillId="0" borderId="3" xfId="0" applyNumberFormat="1" applyFont="1" applyBorder="1" applyAlignment="1">
      <alignment horizontal="right"/>
    </xf>
    <xf numFmtId="165" fontId="23" fillId="0" borderId="3" xfId="0" applyNumberFormat="1" applyFont="1" applyBorder="1" applyAlignment="1">
      <alignment horizontal="right"/>
    </xf>
    <xf numFmtId="0" fontId="27" fillId="0" borderId="3" xfId="0" quotePrefix="1" applyFont="1" applyBorder="1" applyAlignment="1">
      <alignment horizontal="right"/>
    </xf>
    <xf numFmtId="0" fontId="26" fillId="0" borderId="0" xfId="0" applyFont="1"/>
    <xf numFmtId="0" fontId="28" fillId="13" borderId="3" xfId="0" applyFont="1" applyFill="1" applyBorder="1" applyAlignment="1">
      <alignment wrapText="1"/>
    </xf>
    <xf numFmtId="0" fontId="23" fillId="0" borderId="3" xfId="0" applyFont="1" applyBorder="1" applyAlignment="1">
      <alignment horizontal="right" wrapText="1"/>
    </xf>
    <xf numFmtId="3" fontId="23" fillId="0" borderId="3" xfId="0" applyNumberFormat="1" applyFont="1" applyBorder="1" applyAlignment="1">
      <alignment horizontal="right" wrapText="1"/>
    </xf>
    <xf numFmtId="164" fontId="23" fillId="0" borderId="3" xfId="0" applyNumberFormat="1" applyFont="1" applyBorder="1" applyAlignment="1">
      <alignment horizontal="right" wrapText="1"/>
    </xf>
    <xf numFmtId="0" fontId="18" fillId="0" borderId="3" xfId="0" applyFont="1" applyBorder="1" applyAlignment="1">
      <alignment wrapText="1"/>
    </xf>
    <xf numFmtId="164" fontId="18" fillId="0" borderId="3" xfId="0" applyNumberFormat="1" applyFont="1" applyBorder="1" applyAlignment="1">
      <alignment horizontal="right" wrapText="1"/>
    </xf>
    <xf numFmtId="3" fontId="18" fillId="0" borderId="3" xfId="0" applyNumberFormat="1" applyFont="1" applyBorder="1" applyAlignment="1">
      <alignment horizontal="right" wrapText="1"/>
    </xf>
    <xf numFmtId="3" fontId="18" fillId="0" borderId="3" xfId="0" applyNumberFormat="1" applyFont="1" applyBorder="1" applyAlignment="1">
      <alignment horizontal="right"/>
    </xf>
    <xf numFmtId="0" fontId="25" fillId="13" borderId="3" xfId="0" applyFont="1" applyFill="1" applyBorder="1" applyAlignment="1">
      <alignment wrapText="1"/>
    </xf>
    <xf numFmtId="0" fontId="25" fillId="13" borderId="3" xfId="0" applyFont="1" applyFill="1" applyBorder="1"/>
    <xf numFmtId="3" fontId="27" fillId="0" borderId="3" xfId="0" applyNumberFormat="1" applyFont="1" applyBorder="1" applyAlignment="1">
      <alignment horizontal="right" wrapText="1"/>
    </xf>
    <xf numFmtId="10" fontId="27" fillId="0" borderId="3" xfId="0" applyNumberFormat="1" applyFont="1" applyBorder="1" applyAlignment="1">
      <alignment horizontal="right" wrapText="1"/>
    </xf>
    <xf numFmtId="174" fontId="23" fillId="0" borderId="3" xfId="0" applyNumberFormat="1" applyFont="1" applyBorder="1" applyAlignment="1">
      <alignment horizontal="right" wrapText="1"/>
    </xf>
    <xf numFmtId="174" fontId="27" fillId="0" borderId="3" xfId="0" applyNumberFormat="1" applyFont="1" applyBorder="1" applyAlignment="1">
      <alignment horizontal="right" wrapText="1"/>
    </xf>
    <xf numFmtId="169" fontId="23" fillId="0" borderId="3" xfId="0" applyNumberFormat="1" applyFont="1" applyBorder="1" applyAlignment="1">
      <alignment horizontal="right" wrapText="1"/>
    </xf>
    <xf numFmtId="10" fontId="27" fillId="0" borderId="6" xfId="0" applyNumberFormat="1" applyFont="1" applyBorder="1" applyAlignment="1">
      <alignment horizontal="right"/>
    </xf>
    <xf numFmtId="0" fontId="32" fillId="0" borderId="3" xfId="0" applyFont="1" applyBorder="1" applyAlignment="1">
      <alignment horizontal="right" wrapText="1"/>
    </xf>
    <xf numFmtId="0" fontId="18" fillId="0" borderId="3" xfId="0" applyFont="1" applyBorder="1" applyAlignment="1">
      <alignment horizontal="right" wrapText="1"/>
    </xf>
    <xf numFmtId="0" fontId="18" fillId="0" borderId="3" xfId="0" applyFont="1" applyBorder="1" applyAlignment="1">
      <alignment horizontal="right"/>
    </xf>
    <xf numFmtId="0" fontId="32" fillId="0" borderId="3" xfId="0" applyFont="1" applyBorder="1" applyAlignment="1">
      <alignment wrapText="1"/>
    </xf>
    <xf numFmtId="3" fontId="18" fillId="0" borderId="3" xfId="0" applyNumberFormat="1" applyFont="1" applyBorder="1" applyAlignment="1">
      <alignment wrapText="1"/>
    </xf>
    <xf numFmtId="171" fontId="18" fillId="0" borderId="3" xfId="0" applyNumberFormat="1" applyFont="1" applyBorder="1"/>
    <xf numFmtId="9" fontId="18" fillId="0" borderId="3" xfId="0" applyNumberFormat="1" applyFont="1" applyBorder="1" applyAlignment="1">
      <alignment wrapText="1"/>
    </xf>
    <xf numFmtId="0" fontId="26" fillId="0" borderId="0" xfId="0" applyFont="1" applyAlignment="1">
      <alignment wrapText="1"/>
    </xf>
    <xf numFmtId="177" fontId="26" fillId="0" borderId="0" xfId="0" applyNumberFormat="1" applyFont="1"/>
    <xf numFmtId="0" fontId="35" fillId="0" borderId="0" xfId="0" applyFont="1" applyAlignment="1">
      <alignment horizontal="left" vertical="top" wrapText="1"/>
    </xf>
    <xf numFmtId="3" fontId="22" fillId="7" borderId="0" xfId="0" applyNumberFormat="1" applyFont="1" applyFill="1"/>
    <xf numFmtId="10" fontId="38" fillId="0" borderId="0" xfId="0" applyNumberFormat="1" applyFont="1" applyAlignment="1">
      <alignment horizontal="right"/>
    </xf>
    <xf numFmtId="0" fontId="28" fillId="13" borderId="0" xfId="0" applyFont="1" applyFill="1" applyAlignment="1">
      <alignment wrapText="1"/>
    </xf>
    <xf numFmtId="3" fontId="18" fillId="0" borderId="0" xfId="0" applyNumberFormat="1" applyFont="1" applyAlignment="1">
      <alignment wrapText="1"/>
    </xf>
    <xf numFmtId="10" fontId="18" fillId="0" borderId="0" xfId="0" applyNumberFormat="1" applyFont="1" applyAlignment="1">
      <alignment wrapText="1"/>
    </xf>
    <xf numFmtId="0" fontId="22" fillId="3" borderId="0" xfId="0" applyFont="1" applyFill="1" applyAlignment="1">
      <alignment horizontal="center"/>
    </xf>
    <xf numFmtId="0" fontId="28" fillId="13" borderId="3" xfId="0" applyFont="1" applyFill="1" applyBorder="1" applyAlignment="1">
      <alignment horizontal="right"/>
    </xf>
    <xf numFmtId="0" fontId="28" fillId="13" borderId="6" xfId="0" applyFont="1" applyFill="1" applyBorder="1" applyAlignment="1">
      <alignment horizontal="right"/>
    </xf>
    <xf numFmtId="0" fontId="41" fillId="0" borderId="0" xfId="0" applyFont="1"/>
    <xf numFmtId="0" fontId="32" fillId="0" borderId="3" xfId="0" applyFont="1" applyBorder="1"/>
    <xf numFmtId="169" fontId="18" fillId="0" borderId="3" xfId="0" applyNumberFormat="1" applyFont="1" applyBorder="1"/>
    <xf numFmtId="0" fontId="22" fillId="3" borderId="0" xfId="0" applyFont="1" applyFill="1" applyAlignment="1">
      <alignment horizontal="center" vertical="center" indent="1"/>
    </xf>
    <xf numFmtId="0" fontId="28" fillId="13" borderId="3" xfId="0" applyFont="1" applyFill="1" applyBorder="1" applyAlignment="1">
      <alignment horizontal="right" wrapText="1"/>
    </xf>
    <xf numFmtId="3" fontId="18" fillId="0" borderId="3" xfId="0" applyNumberFormat="1" applyFont="1" applyBorder="1"/>
    <xf numFmtId="3" fontId="18" fillId="0" borderId="6" xfId="0" applyNumberFormat="1" applyFont="1" applyBorder="1"/>
    <xf numFmtId="174" fontId="18" fillId="0" borderId="3" xfId="0" applyNumberFormat="1" applyFont="1" applyBorder="1"/>
    <xf numFmtId="174" fontId="18" fillId="0" borderId="6" xfId="0" applyNumberFormat="1" applyFont="1" applyBorder="1"/>
    <xf numFmtId="174" fontId="18" fillId="0" borderId="3" xfId="0" applyNumberFormat="1" applyFont="1" applyBorder="1" applyAlignment="1">
      <alignment wrapText="1"/>
    </xf>
    <xf numFmtId="0" fontId="28" fillId="14" borderId="3" xfId="0" applyFont="1" applyFill="1" applyBorder="1" applyAlignment="1">
      <alignment wrapText="1"/>
    </xf>
    <xf numFmtId="174" fontId="28" fillId="14" borderId="3" xfId="0" applyNumberFormat="1" applyFont="1" applyFill="1" applyBorder="1"/>
    <xf numFmtId="174" fontId="28" fillId="14" borderId="6" xfId="0" applyNumberFormat="1" applyFont="1" applyFill="1" applyBorder="1"/>
    <xf numFmtId="0" fontId="28" fillId="13" borderId="0" xfId="0" applyFont="1" applyFill="1" applyAlignment="1">
      <alignment horizontal="right"/>
    </xf>
    <xf numFmtId="0" fontId="28" fillId="13" borderId="0" xfId="0" applyFont="1" applyFill="1" applyAlignment="1">
      <alignment horizontal="right" wrapText="1"/>
    </xf>
    <xf numFmtId="0" fontId="28" fillId="9" borderId="3" xfId="0" applyFont="1" applyFill="1" applyBorder="1" applyAlignment="1">
      <alignment horizontal="right" wrapText="1"/>
    </xf>
    <xf numFmtId="0" fontId="28" fillId="9" borderId="3" xfId="0" applyFont="1" applyFill="1" applyBorder="1" applyAlignment="1">
      <alignment horizontal="right"/>
    </xf>
    <xf numFmtId="0" fontId="28" fillId="9" borderId="3" xfId="0" applyFont="1" applyFill="1" applyBorder="1" applyAlignment="1">
      <alignment horizontal="center"/>
    </xf>
    <xf numFmtId="1" fontId="18" fillId="0" borderId="3" xfId="0" applyNumberFormat="1" applyFont="1" applyBorder="1" applyAlignment="1">
      <alignment horizontal="right"/>
    </xf>
    <xf numFmtId="37" fontId="18" fillId="0" borderId="3" xfId="0" applyNumberFormat="1" applyFont="1" applyBorder="1"/>
    <xf numFmtId="37" fontId="18" fillId="0" borderId="6" xfId="0" applyNumberFormat="1" applyFont="1" applyBorder="1"/>
    <xf numFmtId="37" fontId="18" fillId="0" borderId="3" xfId="0" applyNumberFormat="1" applyFont="1" applyBorder="1" applyAlignment="1">
      <alignment horizontal="right"/>
    </xf>
    <xf numFmtId="1" fontId="18" fillId="0" borderId="0" xfId="0" applyNumberFormat="1" applyFont="1" applyAlignment="1">
      <alignment wrapText="1"/>
    </xf>
    <xf numFmtId="174" fontId="18" fillId="0" borderId="3" xfId="0" applyNumberFormat="1" applyFont="1" applyBorder="1" applyAlignment="1">
      <alignment horizontal="right"/>
    </xf>
    <xf numFmtId="174" fontId="42" fillId="0" borderId="3" xfId="0" applyNumberFormat="1" applyFont="1" applyBorder="1" applyAlignment="1">
      <alignment horizontal="right"/>
    </xf>
    <xf numFmtId="0" fontId="28" fillId="8" borderId="3" xfId="0" applyFont="1" applyFill="1" applyBorder="1" applyAlignment="1">
      <alignment wrapText="1"/>
    </xf>
    <xf numFmtId="3" fontId="28" fillId="8" borderId="3" xfId="0" applyNumberFormat="1" applyFont="1" applyFill="1" applyBorder="1"/>
    <xf numFmtId="3" fontId="28" fillId="8" borderId="6" xfId="0" applyNumberFormat="1" applyFont="1" applyFill="1" applyBorder="1"/>
    <xf numFmtId="3" fontId="28" fillId="8" borderId="3" xfId="0" applyNumberFormat="1" applyFont="1" applyFill="1" applyBorder="1" applyAlignment="1">
      <alignment horizontal="right"/>
    </xf>
    <xf numFmtId="1" fontId="28" fillId="8" borderId="3" xfId="0" applyNumberFormat="1" applyFont="1" applyFill="1" applyBorder="1" applyAlignment="1">
      <alignment horizontal="right"/>
    </xf>
    <xf numFmtId="3" fontId="28" fillId="14" borderId="3" xfId="0" applyNumberFormat="1" applyFont="1" applyFill="1" applyBorder="1"/>
    <xf numFmtId="3" fontId="28" fillId="14" borderId="7" xfId="0" applyNumberFormat="1" applyFont="1" applyFill="1" applyBorder="1"/>
    <xf numFmtId="3" fontId="18" fillId="0" borderId="7" xfId="0" applyNumberFormat="1" applyFont="1" applyBorder="1"/>
    <xf numFmtId="3" fontId="18" fillId="0" borderId="7" xfId="0" applyNumberFormat="1" applyFont="1" applyBorder="1" applyAlignment="1">
      <alignment wrapText="1"/>
    </xf>
    <xf numFmtId="2" fontId="18" fillId="0" borderId="3" xfId="0" applyNumberFormat="1" applyFont="1" applyBorder="1"/>
    <xf numFmtId="0" fontId="18" fillId="0" borderId="7" xfId="0" applyFont="1" applyBorder="1"/>
    <xf numFmtId="0" fontId="18" fillId="0" borderId="3" xfId="0" applyFont="1" applyBorder="1"/>
    <xf numFmtId="168" fontId="18" fillId="0" borderId="7" xfId="0" applyNumberFormat="1" applyFont="1" applyBorder="1"/>
    <xf numFmtId="168" fontId="18" fillId="0" borderId="3" xfId="0" applyNumberFormat="1" applyFont="1" applyBorder="1"/>
    <xf numFmtId="0" fontId="22" fillId="7" borderId="3" xfId="0" applyFont="1" applyFill="1" applyBorder="1" applyAlignment="1">
      <alignment wrapText="1"/>
    </xf>
    <xf numFmtId="168" fontId="25" fillId="13" borderId="3" xfId="0" applyNumberFormat="1" applyFont="1" applyFill="1" applyBorder="1"/>
    <xf numFmtId="0" fontId="18" fillId="0" borderId="4" xfId="0" applyFont="1" applyBorder="1" applyAlignment="1">
      <alignment wrapText="1"/>
    </xf>
    <xf numFmtId="0" fontId="27" fillId="0" borderId="4" xfId="0" applyFont="1" applyBorder="1"/>
    <xf numFmtId="0" fontId="18" fillId="0" borderId="5" xfId="0" applyFont="1" applyBorder="1" applyAlignment="1">
      <alignment wrapText="1"/>
    </xf>
    <xf numFmtId="2" fontId="18" fillId="0" borderId="5" xfId="0" applyNumberFormat="1" applyFont="1" applyBorder="1"/>
    <xf numFmtId="0" fontId="28" fillId="9" borderId="3" xfId="0" applyFont="1" applyFill="1" applyBorder="1"/>
    <xf numFmtId="10" fontId="22" fillId="7" borderId="3" xfId="0" applyNumberFormat="1" applyFont="1" applyFill="1" applyBorder="1"/>
    <xf numFmtId="10" fontId="22" fillId="7" borderId="3" xfId="0" applyNumberFormat="1" applyFont="1" applyFill="1" applyBorder="1" applyAlignment="1">
      <alignment horizontal="center"/>
    </xf>
    <xf numFmtId="0" fontId="18" fillId="14" borderId="3" xfId="0" applyFont="1" applyFill="1" applyBorder="1"/>
    <xf numFmtId="0" fontId="28" fillId="9" borderId="3" xfId="0" applyFont="1" applyFill="1" applyBorder="1" applyAlignment="1">
      <alignment wrapText="1"/>
    </xf>
    <xf numFmtId="168" fontId="18" fillId="0" borderId="3" xfId="0" applyNumberFormat="1" applyFont="1" applyBorder="1" applyAlignment="1">
      <alignment horizontal="right"/>
    </xf>
    <xf numFmtId="0" fontId="32" fillId="0" borderId="3" xfId="0" applyFont="1" applyBorder="1" applyAlignment="1">
      <alignment horizontal="right"/>
    </xf>
    <xf numFmtId="0" fontId="18" fillId="4" borderId="0" xfId="0" applyFont="1" applyFill="1" applyAlignment="1">
      <alignment horizontal="left" wrapText="1"/>
    </xf>
    <xf numFmtId="0" fontId="18" fillId="4" borderId="0" xfId="0" applyFont="1" applyFill="1" applyAlignment="1">
      <alignment horizontal="right"/>
    </xf>
    <xf numFmtId="0" fontId="18" fillId="3" borderId="0" xfId="0" applyFont="1" applyFill="1" applyAlignment="1">
      <alignment horizontal="left" wrapText="1"/>
    </xf>
    <xf numFmtId="0" fontId="28" fillId="0" borderId="0" xfId="0" applyFont="1" applyAlignment="1">
      <alignment wrapText="1"/>
    </xf>
    <xf numFmtId="3" fontId="25" fillId="0" borderId="0" xfId="0" applyNumberFormat="1" applyFont="1" applyAlignment="1">
      <alignment horizontal="right"/>
    </xf>
    <xf numFmtId="0" fontId="18" fillId="0" borderId="0" xfId="0" applyFont="1" applyBorder="1" applyAlignment="1">
      <alignment wrapText="1"/>
    </xf>
    <xf numFmtId="165" fontId="18" fillId="0" borderId="0" xfId="0" applyNumberFormat="1" applyFont="1" applyBorder="1" applyAlignment="1">
      <alignment horizontal="right"/>
    </xf>
    <xf numFmtId="3" fontId="18" fillId="0" borderId="0" xfId="0" applyNumberFormat="1" applyFont="1" applyBorder="1" applyAlignment="1">
      <alignment horizontal="right"/>
    </xf>
    <xf numFmtId="0" fontId="28" fillId="0" borderId="2" xfId="0" applyFont="1" applyBorder="1" applyAlignment="1">
      <alignment wrapText="1"/>
    </xf>
    <xf numFmtId="3" fontId="25" fillId="0" borderId="2" xfId="0" applyNumberFormat="1" applyFont="1" applyBorder="1" applyAlignment="1">
      <alignment horizontal="right"/>
    </xf>
    <xf numFmtId="165" fontId="18" fillId="0" borderId="0" xfId="0" applyNumberFormat="1" applyFont="1" applyAlignment="1">
      <alignment horizontal="right"/>
    </xf>
    <xf numFmtId="3" fontId="18" fillId="0" borderId="0" xfId="0" applyNumberFormat="1" applyFont="1" applyAlignment="1">
      <alignment horizontal="right" wrapText="1"/>
    </xf>
    <xf numFmtId="0" fontId="18" fillId="0" borderId="2" xfId="0" applyFont="1" applyBorder="1" applyAlignment="1">
      <alignment wrapText="1"/>
    </xf>
    <xf numFmtId="165" fontId="18" fillId="0" borderId="2" xfId="0" applyNumberFormat="1" applyFont="1" applyBorder="1" applyAlignment="1">
      <alignment horizontal="right"/>
    </xf>
    <xf numFmtId="0" fontId="28" fillId="3" borderId="0" xfId="0" applyFont="1" applyFill="1" applyAlignment="1">
      <alignment wrapText="1"/>
    </xf>
    <xf numFmtId="168" fontId="18" fillId="0" borderId="0" xfId="0" applyNumberFormat="1" applyFont="1" applyAlignment="1">
      <alignment horizontal="right"/>
    </xf>
    <xf numFmtId="168" fontId="18" fillId="0" borderId="0" xfId="0" applyNumberFormat="1" applyFont="1" applyBorder="1" applyAlignment="1">
      <alignment horizontal="right"/>
    </xf>
    <xf numFmtId="165" fontId="25" fillId="0" borderId="2" xfId="0" applyNumberFormat="1" applyFont="1" applyBorder="1" applyAlignment="1">
      <alignment horizontal="right"/>
    </xf>
    <xf numFmtId="0" fontId="28" fillId="14" borderId="13" xfId="0" applyFont="1" applyFill="1" applyBorder="1" applyAlignment="1">
      <alignment wrapText="1"/>
    </xf>
    <xf numFmtId="3" fontId="25" fillId="14" borderId="13" xfId="0" applyNumberFormat="1" applyFont="1" applyFill="1" applyBorder="1" applyAlignment="1">
      <alignment horizontal="right"/>
    </xf>
    <xf numFmtId="165" fontId="25" fillId="14" borderId="13" xfId="0" applyNumberFormat="1" applyFont="1" applyFill="1" applyBorder="1" applyAlignment="1">
      <alignment horizontal="right"/>
    </xf>
    <xf numFmtId="0" fontId="28" fillId="11" borderId="0" xfId="0" applyFont="1" applyFill="1" applyAlignment="1">
      <alignment wrapText="1"/>
    </xf>
    <xf numFmtId="0" fontId="18" fillId="11" borderId="0" xfId="0" applyFont="1" applyFill="1" applyAlignment="1">
      <alignment horizontal="right"/>
    </xf>
    <xf numFmtId="0" fontId="23" fillId="0" borderId="0" xfId="0" applyFont="1" applyAlignment="1">
      <alignment horizontal="right" wrapText="1"/>
    </xf>
    <xf numFmtId="174" fontId="18" fillId="0" borderId="0" xfId="0" applyNumberFormat="1" applyFont="1" applyAlignment="1">
      <alignment horizontal="right" wrapText="1"/>
    </xf>
    <xf numFmtId="0" fontId="28" fillId="8" borderId="0" xfId="0" applyFont="1" applyFill="1" applyAlignment="1">
      <alignment wrapText="1"/>
    </xf>
    <xf numFmtId="174" fontId="28" fillId="8" borderId="0" xfId="0" applyNumberFormat="1" applyFont="1" applyFill="1" applyAlignment="1">
      <alignment horizontal="right"/>
    </xf>
    <xf numFmtId="174" fontId="40" fillId="6" borderId="0" xfId="0" applyNumberFormat="1" applyFont="1" applyFill="1" applyAlignment="1">
      <alignment horizontal="right"/>
    </xf>
    <xf numFmtId="174" fontId="22" fillId="7" borderId="0" xfId="0" applyNumberFormat="1" applyFont="1" applyFill="1" applyAlignment="1">
      <alignment horizontal="right"/>
    </xf>
    <xf numFmtId="174" fontId="28" fillId="0" borderId="0" xfId="0" applyNumberFormat="1" applyFont="1" applyAlignment="1">
      <alignment horizontal="right"/>
    </xf>
    <xf numFmtId="0" fontId="45" fillId="0" borderId="0" xfId="0" applyFont="1" applyAlignment="1">
      <alignment wrapText="1"/>
    </xf>
    <xf numFmtId="174" fontId="28" fillId="0" borderId="0" xfId="0" applyNumberFormat="1" applyFont="1" applyAlignment="1">
      <alignment horizontal="right" wrapText="1"/>
    </xf>
    <xf numFmtId="174" fontId="18" fillId="8" borderId="0" xfId="0" applyNumberFormat="1" applyFont="1" applyFill="1" applyAlignment="1">
      <alignment horizontal="right"/>
    </xf>
    <xf numFmtId="174" fontId="26" fillId="0" borderId="0" xfId="0" quotePrefix="1" applyNumberFormat="1" applyFont="1" applyFill="1" applyAlignment="1">
      <alignment horizontal="right"/>
    </xf>
    <xf numFmtId="174" fontId="32" fillId="0" borderId="0" xfId="0" applyNumberFormat="1" applyFont="1" applyAlignment="1">
      <alignment horizontal="right"/>
    </xf>
    <xf numFmtId="0" fontId="46" fillId="8" borderId="0" xfId="0" applyFont="1" applyFill="1" applyAlignment="1">
      <alignment wrapText="1"/>
    </xf>
    <xf numFmtId="0" fontId="46" fillId="8" borderId="0" xfId="0" applyFont="1" applyFill="1"/>
    <xf numFmtId="0" fontId="23" fillId="7" borderId="0" xfId="0" applyFont="1" applyFill="1"/>
    <xf numFmtId="0" fontId="22" fillId="7" borderId="0" xfId="0" applyFont="1" applyFill="1"/>
    <xf numFmtId="0" fontId="29" fillId="0" borderId="0" xfId="0" applyFont="1" applyAlignment="1">
      <alignment wrapText="1"/>
    </xf>
    <xf numFmtId="0" fontId="47" fillId="0" borderId="0" xfId="0" applyFont="1"/>
    <xf numFmtId="174" fontId="27" fillId="0" borderId="0" xfId="0" applyNumberFormat="1" applyFont="1"/>
    <xf numFmtId="0" fontId="47" fillId="8" borderId="0" xfId="0" applyFont="1" applyFill="1"/>
    <xf numFmtId="174" fontId="28" fillId="8" borderId="0" xfId="0" applyNumberFormat="1" applyFont="1" applyFill="1"/>
    <xf numFmtId="0" fontId="18" fillId="2" borderId="0" xfId="0" applyFont="1" applyFill="1" applyAlignment="1">
      <alignment wrapText="1"/>
    </xf>
    <xf numFmtId="0" fontId="18" fillId="2" borderId="0" xfId="0" applyFont="1" applyFill="1" applyAlignment="1">
      <alignment horizontal="right" wrapText="1"/>
    </xf>
    <xf numFmtId="0" fontId="18" fillId="2" borderId="0" xfId="0" applyFont="1" applyFill="1" applyAlignment="1">
      <alignment horizontal="right"/>
    </xf>
    <xf numFmtId="0" fontId="28" fillId="3" borderId="0" xfId="0" applyFont="1" applyFill="1" applyAlignment="1">
      <alignment horizontal="center" wrapText="1"/>
    </xf>
    <xf numFmtId="0" fontId="28" fillId="3" borderId="0" xfId="0" applyFont="1" applyFill="1" applyAlignment="1">
      <alignment horizontal="center"/>
    </xf>
    <xf numFmtId="0" fontId="47" fillId="0" borderId="0" xfId="0" applyFont="1" applyAlignment="1">
      <alignment horizontal="right" wrapText="1"/>
    </xf>
    <xf numFmtId="10" fontId="27" fillId="0" borderId="0" xfId="0" applyNumberFormat="1" applyFont="1" applyAlignment="1">
      <alignment horizontal="right" wrapText="1"/>
    </xf>
    <xf numFmtId="10" fontId="27" fillId="0" borderId="0" xfId="0" applyNumberFormat="1" applyFont="1" applyAlignment="1">
      <alignment horizontal="right"/>
    </xf>
    <xf numFmtId="0" fontId="18" fillId="0" borderId="0" xfId="0" applyFont="1" applyAlignment="1">
      <alignment horizontal="right" wrapText="1"/>
    </xf>
    <xf numFmtId="166" fontId="18" fillId="0" borderId="0" xfId="0" applyNumberFormat="1" applyFont="1" applyAlignment="1">
      <alignment horizontal="right"/>
    </xf>
    <xf numFmtId="165" fontId="18" fillId="0" borderId="0" xfId="0" applyNumberFormat="1" applyFont="1" applyAlignment="1">
      <alignment horizontal="right" wrapText="1"/>
    </xf>
    <xf numFmtId="165" fontId="18" fillId="0" borderId="0" xfId="0" applyNumberFormat="1" applyFont="1" applyBorder="1" applyAlignment="1">
      <alignment horizontal="right" wrapText="1"/>
    </xf>
    <xf numFmtId="165" fontId="18" fillId="0" borderId="2" xfId="0" applyNumberFormat="1" applyFont="1" applyBorder="1" applyAlignment="1">
      <alignment horizontal="right" wrapText="1"/>
    </xf>
    <xf numFmtId="168" fontId="18" fillId="0" borderId="2" xfId="0" applyNumberFormat="1" applyFont="1" applyBorder="1" applyAlignment="1">
      <alignment horizontal="right"/>
    </xf>
    <xf numFmtId="10" fontId="32" fillId="0" borderId="0" xfId="0" applyNumberFormat="1" applyFont="1" applyAlignment="1">
      <alignment horizontal="right" wrapText="1"/>
    </xf>
    <xf numFmtId="10" fontId="18" fillId="0" borderId="0" xfId="0" applyNumberFormat="1" applyFont="1" applyAlignment="1">
      <alignment horizontal="right" wrapText="1"/>
    </xf>
    <xf numFmtId="3" fontId="18" fillId="0" borderId="2" xfId="0" applyNumberFormat="1" applyFont="1" applyBorder="1" applyAlignment="1">
      <alignment horizontal="right" wrapText="1"/>
    </xf>
    <xf numFmtId="3" fontId="18" fillId="0" borderId="2" xfId="0" applyNumberFormat="1" applyFont="1" applyBorder="1" applyAlignment="1">
      <alignment horizontal="right"/>
    </xf>
    <xf numFmtId="10" fontId="23" fillId="0" borderId="0" xfId="0" applyNumberFormat="1" applyFont="1" applyBorder="1" applyAlignment="1">
      <alignment horizontal="right" wrapText="1"/>
    </xf>
    <xf numFmtId="10" fontId="23" fillId="0" borderId="0" xfId="0" applyNumberFormat="1" applyFont="1" applyBorder="1" applyAlignment="1">
      <alignment horizontal="right"/>
    </xf>
    <xf numFmtId="10" fontId="18" fillId="0" borderId="0" xfId="0" applyNumberFormat="1" applyFont="1" applyBorder="1" applyAlignment="1">
      <alignment horizontal="right"/>
    </xf>
    <xf numFmtId="0" fontId="28" fillId="0" borderId="10" xfId="0" applyFont="1" applyBorder="1" applyAlignment="1">
      <alignment wrapText="1"/>
    </xf>
    <xf numFmtId="165" fontId="23" fillId="0" borderId="10" xfId="0" applyNumberFormat="1" applyFont="1" applyBorder="1" applyAlignment="1">
      <alignment horizontal="right" wrapText="1"/>
    </xf>
    <xf numFmtId="3" fontId="18" fillId="0" borderId="10" xfId="0" applyNumberFormat="1" applyFont="1" applyBorder="1" applyAlignment="1">
      <alignment horizontal="right"/>
    </xf>
    <xf numFmtId="0" fontId="28" fillId="0" borderId="0" xfId="0" applyFont="1" applyBorder="1" applyAlignment="1">
      <alignment wrapText="1"/>
    </xf>
    <xf numFmtId="165" fontId="23" fillId="0" borderId="0" xfId="0" applyNumberFormat="1" applyFont="1" applyBorder="1" applyAlignment="1">
      <alignment horizontal="right" wrapText="1"/>
    </xf>
    <xf numFmtId="0" fontId="32" fillId="0" borderId="0" xfId="0" applyFont="1" applyAlignment="1">
      <alignment horizontal="right" wrapText="1"/>
    </xf>
    <xf numFmtId="165" fontId="23" fillId="3" borderId="0" xfId="0" applyNumberFormat="1" applyFont="1" applyFill="1" applyAlignment="1">
      <alignment wrapText="1"/>
    </xf>
    <xf numFmtId="165" fontId="23" fillId="3" borderId="0" xfId="0" applyNumberFormat="1" applyFont="1" applyFill="1" applyAlignment="1">
      <alignment horizontal="right"/>
    </xf>
    <xf numFmtId="165" fontId="18" fillId="0" borderId="0" xfId="0" applyNumberFormat="1" applyFont="1"/>
    <xf numFmtId="0" fontId="18" fillId="0" borderId="0" xfId="0" applyFont="1" applyBorder="1" applyAlignment="1">
      <alignment horizontal="right"/>
    </xf>
    <xf numFmtId="166" fontId="23" fillId="0" borderId="0" xfId="0" applyNumberFormat="1" applyFont="1" applyBorder="1"/>
    <xf numFmtId="166" fontId="18" fillId="0" borderId="0" xfId="0" applyNumberFormat="1" applyFont="1" applyBorder="1"/>
    <xf numFmtId="0" fontId="18" fillId="0" borderId="2" xfId="0" applyFont="1" applyBorder="1" applyAlignment="1">
      <alignment horizontal="right"/>
    </xf>
    <xf numFmtId="1" fontId="23" fillId="0" borderId="2" xfId="0" applyNumberFormat="1" applyFont="1" applyBorder="1"/>
    <xf numFmtId="1" fontId="23" fillId="0" borderId="0" xfId="0" applyNumberFormat="1" applyFont="1"/>
    <xf numFmtId="0" fontId="23" fillId="3" borderId="0" xfId="0" applyFont="1" applyFill="1"/>
    <xf numFmtId="9" fontId="27" fillId="3" borderId="0" xfId="0" applyNumberFormat="1" applyFont="1" applyFill="1"/>
    <xf numFmtId="9" fontId="18" fillId="3" borderId="0" xfId="0" applyNumberFormat="1" applyFont="1" applyFill="1"/>
    <xf numFmtId="3" fontId="18" fillId="3" borderId="0" xfId="0" applyNumberFormat="1" applyFont="1" applyFill="1" applyBorder="1"/>
    <xf numFmtId="10" fontId="32" fillId="3" borderId="0" xfId="0" applyNumberFormat="1" applyFont="1" applyFill="1" applyBorder="1"/>
    <xf numFmtId="10" fontId="18" fillId="3" borderId="0" xfId="0" applyNumberFormat="1" applyFont="1" applyFill="1" applyBorder="1"/>
    <xf numFmtId="165" fontId="18" fillId="0" borderId="2" xfId="0" applyNumberFormat="1" applyFont="1" applyBorder="1"/>
    <xf numFmtId="3" fontId="18" fillId="0" borderId="2" xfId="0" applyNumberFormat="1" applyFont="1" applyBorder="1"/>
    <xf numFmtId="10" fontId="27" fillId="0" borderId="0" xfId="0" applyNumberFormat="1" applyFont="1"/>
    <xf numFmtId="169" fontId="18" fillId="0" borderId="0" xfId="0" applyNumberFormat="1" applyFont="1" applyBorder="1"/>
    <xf numFmtId="0" fontId="18" fillId="0" borderId="10" xfId="0" applyFont="1" applyBorder="1"/>
    <xf numFmtId="0" fontId="18" fillId="3" borderId="10" xfId="0" applyFont="1" applyFill="1" applyBorder="1" applyAlignment="1">
      <alignment horizontal="right"/>
    </xf>
    <xf numFmtId="37" fontId="18" fillId="3" borderId="10" xfId="0" applyNumberFormat="1" applyFont="1" applyFill="1" applyBorder="1" applyAlignment="1">
      <alignment horizontal="right"/>
    </xf>
    <xf numFmtId="1" fontId="18" fillId="3" borderId="10" xfId="0" applyNumberFormat="1" applyFont="1" applyFill="1" applyBorder="1"/>
    <xf numFmtId="0" fontId="18" fillId="0" borderId="0" xfId="0" applyFont="1"/>
    <xf numFmtId="0" fontId="18" fillId="3" borderId="0" xfId="0" applyFont="1" applyFill="1"/>
    <xf numFmtId="3" fontId="32" fillId="3" borderId="0" xfId="0" applyNumberFormat="1" applyFont="1" applyFill="1"/>
    <xf numFmtId="0" fontId="32" fillId="3" borderId="0" xfId="0" applyFont="1" applyFill="1"/>
    <xf numFmtId="168" fontId="18" fillId="0" borderId="0" xfId="0" applyNumberFormat="1" applyFont="1" applyAlignment="1">
      <alignment wrapText="1"/>
    </xf>
    <xf numFmtId="1" fontId="18" fillId="0" borderId="0" xfId="0" applyNumberFormat="1" applyFont="1"/>
    <xf numFmtId="0" fontId="18" fillId="0" borderId="10" xfId="0" applyFont="1" applyBorder="1" applyAlignment="1">
      <alignment wrapText="1"/>
    </xf>
    <xf numFmtId="10" fontId="18" fillId="0" borderId="10" xfId="0" applyNumberFormat="1" applyFont="1" applyBorder="1" applyAlignment="1">
      <alignment wrapText="1"/>
    </xf>
    <xf numFmtId="10" fontId="18" fillId="0" borderId="10" xfId="0" applyNumberFormat="1" applyFont="1" applyBorder="1"/>
    <xf numFmtId="0" fontId="18" fillId="0" borderId="0" xfId="0" applyFont="1" applyBorder="1"/>
    <xf numFmtId="169" fontId="18" fillId="0" borderId="0" xfId="0" applyNumberFormat="1" applyFont="1" applyBorder="1" applyAlignment="1">
      <alignment horizontal="right"/>
    </xf>
    <xf numFmtId="166" fontId="18" fillId="0" borderId="10" xfId="0" applyNumberFormat="1" applyFont="1" applyBorder="1" applyAlignment="1">
      <alignment horizontal="right"/>
    </xf>
    <xf numFmtId="170" fontId="18" fillId="0" borderId="10" xfId="0" applyNumberFormat="1" applyFont="1" applyBorder="1" applyAlignment="1">
      <alignment horizontal="right"/>
    </xf>
    <xf numFmtId="0" fontId="32" fillId="0" borderId="0" xfId="0" applyFont="1"/>
    <xf numFmtId="168" fontId="18" fillId="0" borderId="0" xfId="0" applyNumberFormat="1" applyFont="1"/>
    <xf numFmtId="0" fontId="27" fillId="0" borderId="10" xfId="0" applyFont="1" applyBorder="1" applyAlignment="1">
      <alignment horizontal="right"/>
    </xf>
    <xf numFmtId="0" fontId="27" fillId="0" borderId="10" xfId="0" applyFont="1" applyBorder="1"/>
    <xf numFmtId="0" fontId="23" fillId="6" borderId="0" xfId="0" applyFont="1" applyFill="1" applyAlignment="1">
      <alignment wrapText="1"/>
    </xf>
    <xf numFmtId="0" fontId="23" fillId="6" borderId="0" xfId="0" applyFont="1" applyFill="1"/>
    <xf numFmtId="3" fontId="28" fillId="0" borderId="0" xfId="0" applyNumberFormat="1" applyFont="1" applyAlignment="1">
      <alignment horizontal="right" wrapText="1"/>
    </xf>
    <xf numFmtId="174" fontId="28" fillId="0" borderId="0" xfId="0" applyNumberFormat="1" applyFont="1" applyBorder="1"/>
    <xf numFmtId="166" fontId="23" fillId="0" borderId="0" xfId="0" applyNumberFormat="1" applyFont="1" applyAlignment="1">
      <alignment horizontal="right"/>
    </xf>
    <xf numFmtId="0" fontId="23" fillId="0" borderId="0" xfId="0" applyFont="1" applyAlignment="1">
      <alignment horizontal="left"/>
    </xf>
    <xf numFmtId="0" fontId="21" fillId="2" borderId="0" xfId="0" applyFont="1" applyFill="1" applyAlignment="1">
      <alignment horizontal="center" vertical="center"/>
    </xf>
    <xf numFmtId="17" fontId="21" fillId="2" borderId="0" xfId="0" applyNumberFormat="1" applyFont="1" applyFill="1" applyAlignment="1">
      <alignment horizontal="center" vertical="center"/>
    </xf>
    <xf numFmtId="166" fontId="21" fillId="2" borderId="0" xfId="0" applyNumberFormat="1" applyFont="1" applyFill="1" applyAlignment="1">
      <alignment horizontal="right" vertical="center"/>
    </xf>
    <xf numFmtId="166" fontId="23" fillId="2" borderId="0" xfId="0" applyNumberFormat="1" applyFont="1" applyFill="1" applyAlignment="1">
      <alignment horizontal="right"/>
    </xf>
    <xf numFmtId="0" fontId="21" fillId="3" borderId="0" xfId="0" applyFont="1" applyFill="1" applyAlignment="1">
      <alignment horizontal="center" vertical="center"/>
    </xf>
    <xf numFmtId="17" fontId="21" fillId="3" borderId="0" xfId="0" applyNumberFormat="1" applyFont="1" applyFill="1" applyAlignment="1">
      <alignment horizontal="center" vertical="center"/>
    </xf>
    <xf numFmtId="166" fontId="21" fillId="3" borderId="0" xfId="0" applyNumberFormat="1" applyFont="1" applyFill="1" applyAlignment="1">
      <alignment horizontal="right" vertical="center"/>
    </xf>
    <xf numFmtId="166" fontId="23" fillId="3" borderId="0" xfId="0" applyNumberFormat="1" applyFont="1" applyFill="1" applyAlignment="1">
      <alignment horizontal="right"/>
    </xf>
    <xf numFmtId="0" fontId="48" fillId="0" borderId="0" xfId="0" applyFont="1" applyBorder="1"/>
    <xf numFmtId="169" fontId="27" fillId="3" borderId="0" xfId="0" applyNumberFormat="1" applyFont="1" applyFill="1" applyBorder="1" applyAlignment="1">
      <alignment horizontal="right"/>
    </xf>
    <xf numFmtId="0" fontId="23" fillId="0" borderId="0" xfId="0" applyFont="1" applyBorder="1" applyAlignment="1">
      <alignment horizontal="left" wrapText="1"/>
    </xf>
    <xf numFmtId="0" fontId="23" fillId="0" borderId="0" xfId="0" applyFont="1" applyBorder="1" applyAlignment="1">
      <alignment horizontal="left"/>
    </xf>
    <xf numFmtId="0" fontId="28" fillId="0" borderId="2" xfId="0" applyFont="1" applyBorder="1"/>
    <xf numFmtId="10" fontId="23" fillId="0" borderId="2" xfId="0" applyNumberFormat="1" applyFont="1" applyBorder="1" applyAlignment="1">
      <alignment horizontal="right"/>
    </xf>
    <xf numFmtId="169" fontId="28" fillId="3" borderId="2" xfId="0" applyNumberFormat="1" applyFont="1" applyFill="1" applyBorder="1" applyAlignment="1">
      <alignment horizontal="right"/>
    </xf>
    <xf numFmtId="0" fontId="49" fillId="0" borderId="0" xfId="0" applyFont="1"/>
    <xf numFmtId="10" fontId="23" fillId="3" borderId="0" xfId="0" applyNumberFormat="1" applyFont="1" applyFill="1" applyAlignment="1">
      <alignment horizontal="right"/>
    </xf>
    <xf numFmtId="10" fontId="28" fillId="3" borderId="0" xfId="0" applyNumberFormat="1" applyFont="1" applyFill="1" applyAlignment="1">
      <alignment horizontal="right"/>
    </xf>
    <xf numFmtId="0" fontId="48" fillId="3" borderId="0" xfId="0" applyFont="1" applyFill="1" applyAlignment="1">
      <alignment horizontal="left" wrapText="1"/>
    </xf>
    <xf numFmtId="169" fontId="27" fillId="0" borderId="0" xfId="0" applyNumberFormat="1" applyFont="1" applyBorder="1" applyAlignment="1">
      <alignment horizontal="right"/>
    </xf>
    <xf numFmtId="169" fontId="28" fillId="0" borderId="2" xfId="0" applyNumberFormat="1" applyFont="1" applyBorder="1" applyAlignment="1">
      <alignment horizontal="right"/>
    </xf>
    <xf numFmtId="10" fontId="50" fillId="0" borderId="0" xfId="0" applyNumberFormat="1" applyFont="1" applyAlignment="1">
      <alignment horizontal="right"/>
    </xf>
    <xf numFmtId="0" fontId="48" fillId="0" borderId="0" xfId="0" applyFont="1" applyAlignment="1">
      <alignment horizontal="left" wrapText="1"/>
    </xf>
    <xf numFmtId="169" fontId="23" fillId="0" borderId="0" xfId="0" applyNumberFormat="1" applyFont="1" applyBorder="1" applyAlignment="1">
      <alignment horizontal="right"/>
    </xf>
    <xf numFmtId="0" fontId="28" fillId="0" borderId="0" xfId="0" applyFont="1" applyBorder="1"/>
    <xf numFmtId="166" fontId="50" fillId="0" borderId="0" xfId="0" applyNumberFormat="1" applyFont="1" applyAlignment="1">
      <alignment horizontal="right"/>
    </xf>
    <xf numFmtId="166" fontId="28" fillId="3" borderId="0" xfId="0" applyNumberFormat="1" applyFont="1" applyFill="1" applyAlignment="1">
      <alignment horizontal="right"/>
    </xf>
    <xf numFmtId="172" fontId="27" fillId="0" borderId="0" xfId="0" applyNumberFormat="1" applyFont="1" applyBorder="1" applyAlignment="1">
      <alignment horizontal="right"/>
    </xf>
    <xf numFmtId="172" fontId="27" fillId="3" borderId="0" xfId="0" applyNumberFormat="1" applyFont="1" applyFill="1" applyBorder="1" applyAlignment="1">
      <alignment horizontal="right"/>
    </xf>
    <xf numFmtId="172" fontId="23" fillId="0" borderId="0" xfId="0" applyNumberFormat="1" applyFont="1" applyBorder="1" applyAlignment="1">
      <alignment horizontal="right"/>
    </xf>
    <xf numFmtId="172" fontId="28" fillId="0" borderId="2" xfId="0" applyNumberFormat="1" applyFont="1" applyBorder="1" applyAlignment="1">
      <alignment horizontal="right"/>
    </xf>
    <xf numFmtId="172" fontId="28" fillId="3" borderId="2" xfId="0" applyNumberFormat="1" applyFont="1" applyFill="1" applyBorder="1" applyAlignment="1">
      <alignment horizontal="right"/>
    </xf>
    <xf numFmtId="172" fontId="50" fillId="0" borderId="0" xfId="0" applyNumberFormat="1" applyFont="1" applyBorder="1" applyAlignment="1">
      <alignment horizontal="right"/>
    </xf>
    <xf numFmtId="172" fontId="28" fillId="3" borderId="0" xfId="0" applyNumberFormat="1" applyFont="1" applyFill="1" applyBorder="1" applyAlignment="1">
      <alignment horizontal="right"/>
    </xf>
    <xf numFmtId="0" fontId="48" fillId="0" borderId="0" xfId="0" applyFont="1" applyBorder="1" applyAlignment="1">
      <alignment horizontal="center" wrapText="1"/>
    </xf>
    <xf numFmtId="169" fontId="50" fillId="0" borderId="0" xfId="0" applyNumberFormat="1" applyFont="1" applyBorder="1" applyAlignment="1">
      <alignment horizontal="right"/>
    </xf>
    <xf numFmtId="169" fontId="28" fillId="3" borderId="0" xfId="0" applyNumberFormat="1" applyFont="1" applyFill="1" applyBorder="1" applyAlignment="1">
      <alignment horizontal="right"/>
    </xf>
    <xf numFmtId="0" fontId="48" fillId="0" borderId="0" xfId="0" applyFont="1" applyBorder="1" applyAlignment="1">
      <alignment horizontal="left" wrapText="1"/>
    </xf>
    <xf numFmtId="0" fontId="48" fillId="0" borderId="0" xfId="0" applyFont="1"/>
    <xf numFmtId="169" fontId="27" fillId="0" borderId="0" xfId="0" applyNumberFormat="1" applyFont="1" applyAlignment="1">
      <alignment horizontal="right"/>
    </xf>
    <xf numFmtId="169" fontId="27" fillId="3" borderId="0" xfId="0" applyNumberFormat="1" applyFont="1" applyFill="1" applyAlignment="1">
      <alignment horizontal="right"/>
    </xf>
    <xf numFmtId="0" fontId="23" fillId="0" borderId="0" xfId="0" applyFont="1" applyAlignment="1">
      <alignment horizontal="left" wrapText="1"/>
    </xf>
    <xf numFmtId="169" fontId="50" fillId="0" borderId="0" xfId="0" applyNumberFormat="1" applyFont="1" applyAlignment="1">
      <alignment horizontal="right"/>
    </xf>
    <xf numFmtId="169" fontId="28" fillId="3" borderId="0" xfId="0" applyNumberFormat="1" applyFont="1" applyFill="1" applyAlignment="1">
      <alignment horizontal="right"/>
    </xf>
    <xf numFmtId="169" fontId="23" fillId="0" borderId="2" xfId="0" applyNumberFormat="1" applyFont="1" applyBorder="1" applyAlignment="1">
      <alignment horizontal="right"/>
    </xf>
    <xf numFmtId="172" fontId="27" fillId="0" borderId="0" xfId="0" applyNumberFormat="1" applyFont="1" applyAlignment="1">
      <alignment horizontal="right"/>
    </xf>
    <xf numFmtId="172" fontId="27" fillId="3" borderId="0" xfId="0" applyNumberFormat="1" applyFont="1" applyFill="1" applyAlignment="1">
      <alignment horizontal="right"/>
    </xf>
    <xf numFmtId="172" fontId="23" fillId="0" borderId="0" xfId="0" applyNumberFormat="1" applyFont="1" applyAlignment="1">
      <alignment horizontal="right"/>
    </xf>
    <xf numFmtId="172" fontId="50" fillId="0" borderId="0" xfId="0" applyNumberFormat="1" applyFont="1" applyAlignment="1">
      <alignment horizontal="right"/>
    </xf>
    <xf numFmtId="172" fontId="28" fillId="3" borderId="0" xfId="0" applyNumberFormat="1" applyFont="1" applyFill="1" applyAlignment="1">
      <alignment horizontal="right"/>
    </xf>
    <xf numFmtId="166" fontId="50" fillId="0" borderId="0" xfId="0" applyNumberFormat="1" applyFont="1" applyBorder="1" applyAlignment="1">
      <alignment horizontal="right"/>
    </xf>
    <xf numFmtId="166" fontId="28" fillId="3" borderId="0" xfId="0" applyNumberFormat="1" applyFont="1" applyFill="1" applyBorder="1" applyAlignment="1">
      <alignment horizontal="right"/>
    </xf>
    <xf numFmtId="0" fontId="48" fillId="0" borderId="0" xfId="0" applyFont="1" applyBorder="1" applyAlignment="1">
      <alignment horizontal="center"/>
    </xf>
    <xf numFmtId="0" fontId="48" fillId="0" borderId="0" xfId="0" applyFont="1" applyAlignment="1">
      <alignment horizontal="center" wrapText="1"/>
    </xf>
    <xf numFmtId="10" fontId="50" fillId="0" borderId="0" xfId="0" applyNumberFormat="1" applyFont="1" applyBorder="1" applyAlignment="1">
      <alignment horizontal="right"/>
    </xf>
    <xf numFmtId="10" fontId="28" fillId="3" borderId="0" xfId="0" applyNumberFormat="1" applyFont="1" applyFill="1" applyBorder="1" applyAlignment="1">
      <alignment horizontal="right"/>
    </xf>
    <xf numFmtId="168" fontId="27" fillId="0" borderId="0" xfId="0" applyNumberFormat="1" applyFont="1" applyAlignment="1">
      <alignment horizontal="right"/>
    </xf>
    <xf numFmtId="0" fontId="22" fillId="3" borderId="0" xfId="0" applyFont="1" applyFill="1" applyAlignment="1">
      <alignment horizontal="center" wrapText="1"/>
    </xf>
    <xf numFmtId="166" fontId="22" fillId="3" borderId="0" xfId="0" applyNumberFormat="1" applyFont="1" applyFill="1" applyAlignment="1">
      <alignment horizontal="right" wrapText="1"/>
    </xf>
    <xf numFmtId="0" fontId="23" fillId="14" borderId="13" xfId="0" applyFont="1" applyFill="1" applyBorder="1"/>
    <xf numFmtId="168" fontId="18" fillId="14" borderId="13" xfId="0" applyNumberFormat="1" applyFont="1" applyFill="1" applyBorder="1" applyAlignment="1">
      <alignment horizontal="right"/>
    </xf>
    <xf numFmtId="0" fontId="51" fillId="0" borderId="0" xfId="0" applyFont="1" applyAlignment="1">
      <alignment horizontal="left"/>
    </xf>
    <xf numFmtId="0" fontId="23" fillId="0" borderId="7" xfId="0" applyFont="1" applyBorder="1"/>
    <xf numFmtId="10" fontId="27" fillId="3" borderId="3" xfId="0" applyNumberFormat="1" applyFont="1" applyFill="1" applyBorder="1" applyAlignment="1">
      <alignment horizontal="right"/>
    </xf>
    <xf numFmtId="10" fontId="27" fillId="3" borderId="4" xfId="0" applyNumberFormat="1" applyFont="1" applyFill="1" applyBorder="1" applyAlignment="1">
      <alignment horizontal="right"/>
    </xf>
    <xf numFmtId="0" fontId="23" fillId="0" borderId="8" xfId="0" applyFont="1" applyBorder="1"/>
    <xf numFmtId="0" fontId="41" fillId="0" borderId="3" xfId="0" applyFont="1" applyBorder="1"/>
    <xf numFmtId="169" fontId="18" fillId="3" borderId="5" xfId="0" applyNumberFormat="1" applyFont="1" applyFill="1" applyBorder="1" applyAlignment="1">
      <alignment horizontal="right"/>
    </xf>
    <xf numFmtId="169" fontId="18" fillId="3" borderId="3" xfId="0" applyNumberFormat="1" applyFont="1" applyFill="1" applyBorder="1" applyAlignment="1">
      <alignment horizontal="right"/>
    </xf>
    <xf numFmtId="169" fontId="18" fillId="3" borderId="4" xfId="0" applyNumberFormat="1" applyFont="1" applyFill="1" applyBorder="1" applyAlignment="1">
      <alignment horizontal="right"/>
    </xf>
    <xf numFmtId="169" fontId="52" fillId="0" borderId="3" xfId="0" applyNumberFormat="1" applyFont="1" applyBorder="1"/>
    <xf numFmtId="169" fontId="27" fillId="3" borderId="5" xfId="0" applyNumberFormat="1" applyFont="1" applyFill="1" applyBorder="1" applyAlignment="1">
      <alignment horizontal="right"/>
    </xf>
    <xf numFmtId="169" fontId="27" fillId="3" borderId="3" xfId="0" applyNumberFormat="1" applyFont="1" applyFill="1" applyBorder="1" applyAlignment="1">
      <alignment horizontal="right"/>
    </xf>
    <xf numFmtId="10" fontId="23" fillId="0" borderId="0" xfId="0" applyNumberFormat="1" applyFont="1" applyAlignment="1">
      <alignment horizontal="right"/>
    </xf>
    <xf numFmtId="0" fontId="22" fillId="7" borderId="0" xfId="0" applyFont="1" applyFill="1" applyAlignment="1"/>
    <xf numFmtId="0" fontId="29" fillId="0" borderId="0" xfId="0" applyFont="1"/>
    <xf numFmtId="0" fontId="29" fillId="0" borderId="0" xfId="0" applyFont="1" applyAlignment="1">
      <alignment horizontal="center"/>
    </xf>
    <xf numFmtId="0" fontId="29" fillId="0" borderId="0" xfId="0" applyFont="1" applyBorder="1"/>
    <xf numFmtId="0" fontId="29" fillId="0" borderId="0" xfId="0" applyFont="1" applyBorder="1" applyAlignment="1">
      <alignment horizontal="center"/>
    </xf>
    <xf numFmtId="0" fontId="29" fillId="0" borderId="10" xfId="0" applyFont="1" applyBorder="1"/>
    <xf numFmtId="37" fontId="18" fillId="0" borderId="10" xfId="0" applyNumberFormat="1" applyFont="1" applyBorder="1"/>
    <xf numFmtId="0" fontId="29" fillId="0" borderId="10" xfId="0" applyFont="1" applyBorder="1" applyAlignment="1">
      <alignment horizontal="center"/>
    </xf>
    <xf numFmtId="37" fontId="27" fillId="0" borderId="0" xfId="0" applyNumberFormat="1" applyFont="1" applyAlignment="1">
      <alignment horizontal="right"/>
    </xf>
    <xf numFmtId="37" fontId="22" fillId="7" borderId="0" xfId="0" applyNumberFormat="1" applyFont="1" applyFill="1" applyAlignment="1">
      <alignment wrapText="1"/>
    </xf>
    <xf numFmtId="174" fontId="23" fillId="0" borderId="0" xfId="0" applyNumberFormat="1" applyFont="1"/>
    <xf numFmtId="0" fontId="54" fillId="2" borderId="0" xfId="0" applyFont="1" applyFill="1" applyAlignment="1">
      <alignment horizontal="left" vertical="center"/>
    </xf>
    <xf numFmtId="17" fontId="54" fillId="2" borderId="0" xfId="0" applyNumberFormat="1" applyFont="1" applyFill="1" applyAlignment="1">
      <alignment horizontal="right" vertical="center"/>
    </xf>
    <xf numFmtId="0" fontId="54" fillId="3" borderId="0" xfId="0" applyFont="1" applyFill="1" applyAlignment="1">
      <alignment horizontal="left" vertical="center"/>
    </xf>
    <xf numFmtId="17" fontId="54" fillId="3" borderId="0" xfId="0" applyNumberFormat="1" applyFont="1" applyFill="1" applyAlignment="1">
      <alignment horizontal="right" vertical="center"/>
    </xf>
    <xf numFmtId="165" fontId="52" fillId="0" borderId="0" xfId="0" applyNumberFormat="1" applyFont="1" applyAlignment="1">
      <alignment horizontal="right"/>
    </xf>
    <xf numFmtId="169" fontId="55" fillId="0" borderId="0" xfId="0" applyNumberFormat="1" applyFont="1" applyAlignment="1">
      <alignment horizontal="right"/>
    </xf>
    <xf numFmtId="165" fontId="26" fillId="0" borderId="0" xfId="0" applyNumberFormat="1" applyFont="1" applyBorder="1" applyAlignment="1">
      <alignment horizontal="right"/>
    </xf>
    <xf numFmtId="0" fontId="56" fillId="13" borderId="0" xfId="0" applyFont="1" applyFill="1" applyBorder="1" applyAlignment="1">
      <alignment horizontal="left" wrapText="1"/>
    </xf>
    <xf numFmtId="165" fontId="41" fillId="0" borderId="0" xfId="0" applyNumberFormat="1" applyFont="1" applyBorder="1" applyAlignment="1">
      <alignment horizontal="right"/>
    </xf>
    <xf numFmtId="169" fontId="52" fillId="0" borderId="0" xfId="0" applyNumberFormat="1" applyFont="1" applyBorder="1" applyAlignment="1">
      <alignment horizontal="right"/>
    </xf>
    <xf numFmtId="165" fontId="26" fillId="0" borderId="0" xfId="0" applyNumberFormat="1" applyFont="1" applyAlignment="1">
      <alignment horizontal="right"/>
    </xf>
    <xf numFmtId="165" fontId="41" fillId="0" borderId="0" xfId="0" applyNumberFormat="1" applyFont="1" applyAlignment="1">
      <alignment horizontal="right"/>
    </xf>
    <xf numFmtId="0" fontId="57" fillId="0" borderId="0" xfId="0" applyFont="1" applyAlignment="1">
      <alignment horizontal="left" wrapText="1"/>
    </xf>
    <xf numFmtId="0" fontId="26" fillId="0" borderId="0" xfId="0" applyFont="1" applyAlignment="1">
      <alignment horizontal="right" wrapText="1"/>
    </xf>
    <xf numFmtId="0" fontId="26" fillId="0" borderId="0" xfId="0" applyFont="1" applyAlignment="1">
      <alignment horizontal="right"/>
    </xf>
    <xf numFmtId="169" fontId="41" fillId="0" borderId="0" xfId="0" applyNumberFormat="1" applyFont="1" applyBorder="1" applyAlignment="1">
      <alignment horizontal="right"/>
    </xf>
    <xf numFmtId="169" fontId="26" fillId="0" borderId="0" xfId="0" applyNumberFormat="1" applyFont="1" applyBorder="1" applyAlignment="1">
      <alignment horizontal="right"/>
    </xf>
    <xf numFmtId="169" fontId="41" fillId="0" borderId="10" xfId="0" applyNumberFormat="1" applyFont="1" applyBorder="1" applyAlignment="1">
      <alignment horizontal="right"/>
    </xf>
    <xf numFmtId="0" fontId="26" fillId="0" borderId="0" xfId="0" applyFont="1" applyBorder="1" applyAlignment="1">
      <alignment horizontal="right" wrapText="1"/>
    </xf>
    <xf numFmtId="0" fontId="26" fillId="0" borderId="0" xfId="0" applyFont="1" applyBorder="1" applyAlignment="1">
      <alignment horizontal="right"/>
    </xf>
    <xf numFmtId="0" fontId="26" fillId="0" borderId="2" xfId="0" applyFont="1" applyBorder="1" applyAlignment="1">
      <alignment wrapText="1"/>
    </xf>
    <xf numFmtId="0" fontId="26" fillId="0" borderId="0" xfId="0" applyFont="1" applyBorder="1" applyAlignment="1">
      <alignment wrapText="1"/>
    </xf>
    <xf numFmtId="0" fontId="56" fillId="4" borderId="0" xfId="0" applyFont="1" applyFill="1" applyBorder="1" applyAlignment="1">
      <alignment horizontal="left" wrapText="1"/>
    </xf>
    <xf numFmtId="165" fontId="26" fillId="0" borderId="0" xfId="0" applyNumberFormat="1" applyFont="1" applyBorder="1" applyAlignment="1">
      <alignment horizontal="right" wrapText="1"/>
    </xf>
    <xf numFmtId="0" fontId="27" fillId="0" borderId="0" xfId="0" applyFont="1" applyBorder="1" applyAlignment="1">
      <alignment wrapText="1"/>
    </xf>
    <xf numFmtId="10" fontId="27" fillId="0" borderId="2" xfId="0" applyNumberFormat="1" applyFont="1" applyBorder="1" applyAlignment="1">
      <alignment wrapText="1"/>
    </xf>
    <xf numFmtId="169" fontId="27" fillId="0" borderId="2" xfId="0" applyNumberFormat="1" applyFont="1" applyBorder="1" applyAlignment="1">
      <alignment wrapText="1"/>
    </xf>
    <xf numFmtId="169" fontId="27" fillId="0" borderId="2" xfId="0" applyNumberFormat="1" applyFont="1" applyBorder="1"/>
    <xf numFmtId="10" fontId="32" fillId="0" borderId="0" xfId="0" applyNumberFormat="1" applyFont="1" applyBorder="1" applyAlignment="1">
      <alignment wrapText="1"/>
    </xf>
    <xf numFmtId="10" fontId="32" fillId="0" borderId="0" xfId="0" applyNumberFormat="1" applyFont="1" applyBorder="1"/>
    <xf numFmtId="165" fontId="41" fillId="0" borderId="2" xfId="0" applyNumberFormat="1" applyFont="1" applyBorder="1" applyAlignment="1">
      <alignment horizontal="right"/>
    </xf>
    <xf numFmtId="169" fontId="27" fillId="0" borderId="10" xfId="0" applyNumberFormat="1" applyFont="1" applyBorder="1" applyAlignment="1">
      <alignment wrapText="1"/>
    </xf>
    <xf numFmtId="169" fontId="27" fillId="0" borderId="10" xfId="0" applyNumberFormat="1" applyFont="1" applyBorder="1"/>
    <xf numFmtId="0" fontId="26" fillId="0" borderId="0" xfId="0" applyFont="1" applyBorder="1" applyAlignment="1">
      <alignment horizontal="left"/>
    </xf>
    <xf numFmtId="169" fontId="27" fillId="0" borderId="0" xfId="0" applyNumberFormat="1" applyFont="1" applyBorder="1" applyAlignment="1">
      <alignment wrapText="1"/>
    </xf>
    <xf numFmtId="169" fontId="27" fillId="0" borderId="0" xfId="0" applyNumberFormat="1" applyFont="1" applyBorder="1"/>
    <xf numFmtId="0" fontId="56" fillId="13" borderId="0" xfId="0" applyFont="1" applyFill="1" applyBorder="1" applyAlignment="1">
      <alignment wrapText="1"/>
    </xf>
    <xf numFmtId="0" fontId="41" fillId="0" borderId="0" xfId="0" applyFont="1" applyBorder="1" applyAlignment="1">
      <alignment horizontal="right"/>
    </xf>
    <xf numFmtId="0" fontId="26" fillId="0" borderId="10" xfId="0" applyFont="1" applyBorder="1" applyAlignment="1">
      <alignment wrapText="1"/>
    </xf>
    <xf numFmtId="168" fontId="41" fillId="0" borderId="0" xfId="0" applyNumberFormat="1" applyFont="1" applyBorder="1" applyAlignment="1">
      <alignment horizontal="right"/>
    </xf>
    <xf numFmtId="166" fontId="26" fillId="0" borderId="0" xfId="0" applyNumberFormat="1" applyFont="1" applyBorder="1" applyAlignment="1">
      <alignment horizontal="right"/>
    </xf>
    <xf numFmtId="168" fontId="26" fillId="0" borderId="0" xfId="0" applyNumberFormat="1" applyFont="1" applyBorder="1" applyAlignment="1">
      <alignment horizontal="right"/>
    </xf>
    <xf numFmtId="0" fontId="58" fillId="0" borderId="0" xfId="0" applyFont="1" applyBorder="1" applyAlignment="1">
      <alignment horizontal="right"/>
    </xf>
    <xf numFmtId="168" fontId="56" fillId="0" borderId="0" xfId="0" applyNumberFormat="1" applyFont="1" applyBorder="1" applyAlignment="1">
      <alignment horizontal="right"/>
    </xf>
    <xf numFmtId="0" fontId="56" fillId="0" borderId="0" xfId="0" applyFont="1" applyBorder="1" applyAlignment="1">
      <alignment wrapText="1"/>
    </xf>
    <xf numFmtId="166" fontId="56" fillId="0" borderId="0" xfId="0" applyNumberFormat="1" applyFont="1" applyBorder="1" applyAlignment="1">
      <alignment horizontal="right"/>
    </xf>
    <xf numFmtId="166" fontId="41" fillId="0" borderId="0" xfId="0" applyNumberFormat="1" applyFont="1" applyBorder="1" applyAlignment="1">
      <alignment horizontal="right"/>
    </xf>
    <xf numFmtId="166" fontId="26" fillId="0" borderId="0" xfId="0" applyNumberFormat="1" applyFont="1" applyBorder="1" applyAlignment="1">
      <alignment horizontal="right" indent="1"/>
    </xf>
    <xf numFmtId="0" fontId="56" fillId="0" borderId="0" xfId="0" applyFont="1" applyBorder="1" applyAlignment="1">
      <alignment horizontal="right"/>
    </xf>
    <xf numFmtId="165" fontId="56" fillId="0" borderId="0" xfId="0" applyNumberFormat="1" applyFont="1" applyBorder="1" applyAlignment="1">
      <alignment horizontal="right"/>
    </xf>
    <xf numFmtId="165" fontId="41" fillId="0" borderId="10" xfId="0" applyNumberFormat="1" applyFont="1" applyBorder="1" applyAlignment="1">
      <alignment horizontal="right"/>
    </xf>
    <xf numFmtId="0" fontId="26" fillId="0" borderId="0" xfId="0" applyFont="1" applyBorder="1"/>
    <xf numFmtId="0" fontId="26" fillId="0" borderId="10" xfId="0" applyFont="1" applyBorder="1"/>
    <xf numFmtId="0" fontId="26" fillId="0" borderId="0" xfId="0" applyFont="1" applyAlignment="1">
      <alignment horizontal="left"/>
    </xf>
    <xf numFmtId="0" fontId="54" fillId="2" borderId="0" xfId="0" applyFont="1" applyFill="1" applyBorder="1" applyAlignment="1">
      <alignment horizontal="left" vertical="center"/>
    </xf>
    <xf numFmtId="17" fontId="54" fillId="2" borderId="0" xfId="0" applyNumberFormat="1" applyFont="1" applyFill="1" applyBorder="1" applyAlignment="1">
      <alignment horizontal="right" vertical="center"/>
    </xf>
    <xf numFmtId="0" fontId="54" fillId="3" borderId="0" xfId="0" applyFont="1" applyFill="1" applyAlignment="1">
      <alignment horizontal="center" vertical="center"/>
    </xf>
    <xf numFmtId="0" fontId="56" fillId="13" borderId="0" xfId="0" applyFont="1" applyFill="1" applyBorder="1"/>
    <xf numFmtId="3" fontId="26" fillId="0" borderId="0" xfId="0" applyNumberFormat="1" applyFont="1" applyBorder="1" applyAlignment="1">
      <alignment horizontal="right"/>
    </xf>
    <xf numFmtId="0" fontId="56" fillId="13" borderId="0" xfId="0" applyFont="1" applyFill="1"/>
    <xf numFmtId="0" fontId="52" fillId="0" borderId="0" xfId="0" applyFont="1" applyAlignment="1"/>
    <xf numFmtId="165" fontId="61" fillId="0" borderId="0" xfId="0" applyNumberFormat="1" applyFont="1" applyAlignment="1">
      <alignment horizontal="right"/>
    </xf>
    <xf numFmtId="165" fontId="55" fillId="0" borderId="0" xfId="0" applyNumberFormat="1" applyFont="1" applyAlignment="1">
      <alignment horizontal="right"/>
    </xf>
    <xf numFmtId="0" fontId="55" fillId="0" borderId="0" xfId="0" applyFont="1"/>
    <xf numFmtId="0" fontId="55" fillId="3" borderId="2" xfId="0" applyFont="1" applyFill="1" applyBorder="1" applyAlignment="1"/>
    <xf numFmtId="169" fontId="55" fillId="3" borderId="2" xfId="0" applyNumberFormat="1" applyFont="1" applyFill="1" applyBorder="1" applyAlignment="1">
      <alignment horizontal="right"/>
    </xf>
    <xf numFmtId="0" fontId="62" fillId="13" borderId="0" xfId="0" applyFont="1" applyFill="1" applyAlignment="1"/>
    <xf numFmtId="165" fontId="27" fillId="0" borderId="0" xfId="0" applyNumberFormat="1" applyFont="1" applyAlignment="1">
      <alignment horizontal="right"/>
    </xf>
    <xf numFmtId="169" fontId="30" fillId="15" borderId="0" xfId="0" applyNumberFormat="1" applyFont="1" applyFill="1"/>
    <xf numFmtId="169" fontId="55" fillId="0" borderId="0" xfId="0" applyNumberFormat="1" applyFont="1" applyAlignment="1"/>
    <xf numFmtId="169" fontId="30" fillId="3" borderId="0" xfId="0" applyNumberFormat="1" applyFont="1" applyFill="1"/>
    <xf numFmtId="165" fontId="63" fillId="0" borderId="0" xfId="0" applyNumberFormat="1" applyFont="1" applyAlignment="1">
      <alignment horizontal="right"/>
    </xf>
    <xf numFmtId="0" fontId="62" fillId="14" borderId="13" xfId="0" applyFont="1" applyFill="1" applyBorder="1" applyAlignment="1"/>
    <xf numFmtId="165" fontId="41" fillId="14" borderId="13" xfId="0" applyNumberFormat="1" applyFont="1" applyFill="1" applyBorder="1" applyAlignment="1">
      <alignment horizontal="right"/>
    </xf>
    <xf numFmtId="173" fontId="18" fillId="0" borderId="0" xfId="0" applyNumberFormat="1" applyFont="1"/>
    <xf numFmtId="0" fontId="62" fillId="13" borderId="0" xfId="0" applyFont="1" applyFill="1" applyAlignment="1">
      <alignment wrapText="1"/>
    </xf>
    <xf numFmtId="165" fontId="26" fillId="3" borderId="0" xfId="0" applyNumberFormat="1" applyFont="1" applyFill="1" applyAlignment="1">
      <alignment horizontal="right"/>
    </xf>
    <xf numFmtId="0" fontId="64" fillId="6" borderId="13" xfId="0" applyFont="1" applyFill="1" applyBorder="1"/>
    <xf numFmtId="165" fontId="64" fillId="6" borderId="13" xfId="0" applyNumberFormat="1" applyFont="1" applyFill="1" applyBorder="1" applyAlignment="1">
      <alignment horizontal="right"/>
    </xf>
    <xf numFmtId="0" fontId="56" fillId="3" borderId="0" xfId="0" applyFont="1" applyFill="1" applyBorder="1"/>
    <xf numFmtId="165" fontId="56" fillId="3" borderId="0" xfId="0" applyNumberFormat="1" applyFont="1" applyFill="1" applyBorder="1" applyAlignment="1">
      <alignment horizontal="right"/>
    </xf>
    <xf numFmtId="1" fontId="43" fillId="12" borderId="0" xfId="0" applyNumberFormat="1" applyFont="1" applyFill="1"/>
    <xf numFmtId="1" fontId="43" fillId="12" borderId="0" xfId="0" applyNumberFormat="1" applyFont="1" applyFill="1" applyAlignment="1">
      <alignment horizontal="right"/>
    </xf>
    <xf numFmtId="165" fontId="26" fillId="6" borderId="0" xfId="0" applyNumberFormat="1" applyFont="1" applyFill="1" applyAlignment="1">
      <alignment horizontal="right"/>
    </xf>
    <xf numFmtId="171" fontId="31" fillId="12" borderId="0" xfId="0" applyNumberFormat="1" applyFont="1" applyFill="1"/>
    <xf numFmtId="171" fontId="31" fillId="12" borderId="0" xfId="0" applyNumberFormat="1" applyFont="1" applyFill="1" applyAlignment="1">
      <alignment horizontal="right"/>
    </xf>
    <xf numFmtId="0" fontId="56" fillId="0" borderId="0" xfId="0" applyFont="1"/>
    <xf numFmtId="165" fontId="56" fillId="0" borderId="0" xfId="0" applyNumberFormat="1" applyFont="1" applyAlignment="1">
      <alignment horizontal="right"/>
    </xf>
    <xf numFmtId="0" fontId="26" fillId="10" borderId="0" xfId="0" applyFont="1" applyFill="1"/>
    <xf numFmtId="0" fontId="26" fillId="3" borderId="0" xfId="0" applyFont="1" applyFill="1" applyBorder="1"/>
    <xf numFmtId="0" fontId="34" fillId="3" borderId="0" xfId="0" applyFont="1" applyFill="1" applyBorder="1" applyAlignment="1"/>
    <xf numFmtId="0" fontId="64" fillId="3" borderId="0" xfId="0" applyFont="1" applyFill="1" applyAlignment="1"/>
    <xf numFmtId="0" fontId="62" fillId="3" borderId="0" xfId="0" applyFont="1" applyFill="1" applyBorder="1" applyAlignment="1"/>
    <xf numFmtId="0" fontId="62" fillId="3" borderId="0" xfId="0" applyFont="1" applyFill="1" applyAlignment="1"/>
    <xf numFmtId="0" fontId="26" fillId="3" borderId="0" xfId="0" applyFont="1" applyFill="1" applyBorder="1" applyAlignment="1">
      <alignment wrapText="1"/>
    </xf>
    <xf numFmtId="0" fontId="26" fillId="0" borderId="0" xfId="0" applyFont="1" applyBorder="1" applyAlignment="1"/>
    <xf numFmtId="0" fontId="26" fillId="0" borderId="0" xfId="0" applyFont="1" applyAlignment="1"/>
    <xf numFmtId="0" fontId="68" fillId="6" borderId="0" xfId="0" applyFont="1" applyFill="1" applyAlignment="1">
      <alignment horizontal="center" vertical="center"/>
    </xf>
    <xf numFmtId="165" fontId="26" fillId="0" borderId="0" xfId="0" applyNumberFormat="1" applyFont="1" applyAlignment="1">
      <alignment horizontal="right" vertical="center"/>
    </xf>
    <xf numFmtId="169" fontId="55" fillId="4" borderId="0" xfId="0" applyNumberFormat="1" applyFont="1" applyFill="1" applyAlignment="1">
      <alignment horizontal="right" vertical="center"/>
    </xf>
    <xf numFmtId="165" fontId="52" fillId="0" borderId="0" xfId="0" applyNumberFormat="1" applyFont="1" applyAlignment="1">
      <alignment horizontal="right" vertical="center"/>
    </xf>
    <xf numFmtId="10" fontId="55" fillId="2" borderId="0" xfId="0" applyNumberFormat="1" applyFont="1" applyFill="1" applyAlignment="1">
      <alignment horizontal="right" vertical="center"/>
    </xf>
    <xf numFmtId="165" fontId="52" fillId="4" borderId="0" xfId="0" applyNumberFormat="1" applyFont="1" applyFill="1" applyAlignment="1">
      <alignment horizontal="right" vertical="center"/>
    </xf>
    <xf numFmtId="165" fontId="52" fillId="0" borderId="2" xfId="0" applyNumberFormat="1" applyFont="1" applyBorder="1" applyAlignment="1">
      <alignment horizontal="right" vertical="center"/>
    </xf>
    <xf numFmtId="166" fontId="26" fillId="0" borderId="0" xfId="0" applyNumberFormat="1" applyFont="1" applyAlignment="1">
      <alignment horizontal="right" vertical="center"/>
    </xf>
    <xf numFmtId="0" fontId="64" fillId="6" borderId="4" xfId="0" applyFont="1" applyFill="1" applyBorder="1" applyAlignment="1">
      <alignment horizontal="center"/>
    </xf>
    <xf numFmtId="0" fontId="26" fillId="3" borderId="0" xfId="0" applyFont="1" applyFill="1" applyAlignment="1">
      <alignment horizontal="center"/>
    </xf>
    <xf numFmtId="165" fontId="52" fillId="0" borderId="0" xfId="0" applyNumberFormat="1" applyFont="1" applyBorder="1" applyAlignment="1">
      <alignment horizontal="right" vertical="center"/>
    </xf>
    <xf numFmtId="165" fontId="52" fillId="4" borderId="10" xfId="0" applyNumberFormat="1" applyFont="1" applyFill="1" applyBorder="1" applyAlignment="1">
      <alignment horizontal="right" vertical="center"/>
    </xf>
    <xf numFmtId="10" fontId="52" fillId="0" borderId="3" xfId="0" applyNumberFormat="1" applyFont="1" applyBorder="1" applyAlignment="1">
      <alignment horizontal="center" wrapText="1"/>
    </xf>
    <xf numFmtId="10" fontId="52" fillId="4" borderId="3" xfId="0" applyNumberFormat="1" applyFont="1" applyFill="1" applyBorder="1" applyAlignment="1">
      <alignment horizontal="center" wrapText="1"/>
    </xf>
    <xf numFmtId="2" fontId="52" fillId="0" borderId="3" xfId="0" applyNumberFormat="1" applyFont="1" applyBorder="1" applyAlignment="1">
      <alignment horizontal="center" wrapText="1"/>
    </xf>
    <xf numFmtId="1" fontId="52" fillId="4" borderId="3" xfId="0" applyNumberFormat="1" applyFont="1" applyFill="1" applyBorder="1" applyAlignment="1">
      <alignment horizontal="center"/>
    </xf>
    <xf numFmtId="1" fontId="52" fillId="0" borderId="3" xfId="0" applyNumberFormat="1" applyFont="1" applyBorder="1" applyAlignment="1">
      <alignment horizontal="center" wrapText="1"/>
    </xf>
    <xf numFmtId="1" fontId="52" fillId="3" borderId="3" xfId="0" applyNumberFormat="1" applyFont="1" applyFill="1" applyBorder="1" applyAlignment="1">
      <alignment horizontal="center"/>
    </xf>
    <xf numFmtId="0" fontId="52" fillId="3" borderId="5" xfId="0" applyFont="1" applyFill="1" applyBorder="1" applyAlignment="1">
      <alignment horizontal="center"/>
    </xf>
    <xf numFmtId="0" fontId="52" fillId="3" borderId="3" xfId="0" applyFont="1" applyFill="1" applyBorder="1" applyAlignment="1">
      <alignment horizontal="center" wrapText="1"/>
    </xf>
    <xf numFmtId="0" fontId="52" fillId="2" borderId="3" xfId="0" applyFont="1" applyFill="1" applyBorder="1" applyAlignment="1">
      <alignment horizontal="center"/>
    </xf>
    <xf numFmtId="0" fontId="26" fillId="0" borderId="2" xfId="0" applyFont="1" applyBorder="1"/>
    <xf numFmtId="169" fontId="30" fillId="0" borderId="0" xfId="0" applyNumberFormat="1" applyFont="1"/>
    <xf numFmtId="169" fontId="30" fillId="0" borderId="0" xfId="0" applyNumberFormat="1" applyFont="1" applyAlignment="1">
      <alignment horizontal="right"/>
    </xf>
    <xf numFmtId="165" fontId="25" fillId="0" borderId="0" xfId="0" applyNumberFormat="1" applyFont="1" applyBorder="1" applyAlignment="1">
      <alignment horizontal="right"/>
    </xf>
    <xf numFmtId="0" fontId="18" fillId="0" borderId="0" xfId="0" applyFont="1" applyBorder="1" applyAlignment="1"/>
    <xf numFmtId="0" fontId="30" fillId="0" borderId="2" xfId="0" applyFont="1" applyBorder="1" applyAlignment="1"/>
    <xf numFmtId="169" fontId="30" fillId="0" borderId="2" xfId="0" applyNumberFormat="1" applyFont="1" applyBorder="1" applyAlignment="1">
      <alignment horizontal="right"/>
    </xf>
    <xf numFmtId="0" fontId="18" fillId="0" borderId="0" xfId="0" applyFont="1" applyAlignment="1"/>
    <xf numFmtId="0" fontId="28" fillId="0" borderId="0" xfId="0" applyFont="1" applyAlignment="1"/>
    <xf numFmtId="165" fontId="28" fillId="0" borderId="0" xfId="0" applyNumberFormat="1" applyFont="1" applyAlignment="1">
      <alignment horizontal="right"/>
    </xf>
    <xf numFmtId="177" fontId="18" fillId="0" borderId="0" xfId="0" applyNumberFormat="1" applyFont="1" applyAlignment="1"/>
    <xf numFmtId="177" fontId="27" fillId="0" borderId="0" xfId="0" applyNumberFormat="1" applyFont="1" applyAlignment="1">
      <alignment horizontal="right"/>
    </xf>
    <xf numFmtId="177" fontId="23" fillId="0" borderId="0" xfId="0" applyNumberFormat="1" applyFont="1"/>
    <xf numFmtId="177" fontId="28" fillId="0" borderId="2" xfId="0" applyNumberFormat="1" applyFont="1" applyBorder="1" applyAlignment="1"/>
    <xf numFmtId="177" fontId="25" fillId="0" borderId="2" xfId="0" applyNumberFormat="1" applyFont="1" applyBorder="1" applyAlignment="1">
      <alignment horizontal="right"/>
    </xf>
    <xf numFmtId="177" fontId="23" fillId="0" borderId="0" xfId="0" applyNumberFormat="1" applyFont="1" applyAlignment="1">
      <alignment wrapText="1"/>
    </xf>
    <xf numFmtId="174" fontId="27" fillId="0" borderId="0" xfId="0" applyNumberFormat="1" applyFont="1" applyAlignment="1">
      <alignment horizontal="right"/>
    </xf>
    <xf numFmtId="174" fontId="27" fillId="0" borderId="0" xfId="0" quotePrefix="1" applyNumberFormat="1" applyFont="1" applyAlignment="1">
      <alignment horizontal="right"/>
    </xf>
    <xf numFmtId="165" fontId="27" fillId="0" borderId="0" xfId="0" applyNumberFormat="1" applyFont="1" applyBorder="1" applyAlignment="1">
      <alignment horizontal="right"/>
    </xf>
    <xf numFmtId="174" fontId="18" fillId="0" borderId="0" xfId="0" applyNumberFormat="1" applyFont="1" applyAlignment="1"/>
    <xf numFmtId="174" fontId="18" fillId="0" borderId="0" xfId="0" applyNumberFormat="1" applyFont="1" applyBorder="1" applyAlignment="1"/>
    <xf numFmtId="174" fontId="27" fillId="0" borderId="0" xfId="0" applyNumberFormat="1" applyFont="1" applyBorder="1" applyAlignment="1">
      <alignment horizontal="right"/>
    </xf>
    <xf numFmtId="174" fontId="28" fillId="0" borderId="2" xfId="0" applyNumberFormat="1" applyFont="1" applyBorder="1" applyAlignment="1"/>
    <xf numFmtId="174" fontId="25" fillId="0" borderId="2" xfId="0" applyNumberFormat="1" applyFont="1" applyBorder="1" applyAlignment="1">
      <alignment horizontal="right"/>
    </xf>
    <xf numFmtId="174" fontId="18" fillId="0" borderId="2" xfId="0" applyNumberFormat="1" applyFont="1" applyBorder="1"/>
    <xf numFmtId="174" fontId="27" fillId="0" borderId="2" xfId="0" applyNumberFormat="1" applyFont="1" applyBorder="1"/>
    <xf numFmtId="169" fontId="30" fillId="3" borderId="0" xfId="0" applyNumberFormat="1" applyFont="1" applyFill="1" applyAlignment="1"/>
    <xf numFmtId="169" fontId="30" fillId="0" borderId="0" xfId="0" applyNumberFormat="1" applyFont="1" applyAlignment="1"/>
    <xf numFmtId="174" fontId="23" fillId="0" borderId="0" xfId="0" applyNumberFormat="1" applyFont="1" applyBorder="1" applyAlignment="1">
      <alignment wrapText="1"/>
    </xf>
    <xf numFmtId="165" fontId="43" fillId="0" borderId="0" xfId="0" applyNumberFormat="1" applyFont="1" applyAlignment="1">
      <alignment horizontal="right"/>
    </xf>
    <xf numFmtId="0" fontId="18" fillId="0" borderId="10" xfId="0" applyFont="1" applyBorder="1" applyAlignment="1"/>
    <xf numFmtId="166" fontId="27" fillId="0" borderId="10" xfId="0" applyNumberFormat="1" applyFont="1" applyBorder="1" applyAlignment="1">
      <alignment horizontal="right"/>
    </xf>
    <xf numFmtId="174" fontId="25" fillId="14" borderId="8" xfId="0" applyNumberFormat="1" applyFont="1" applyFill="1" applyBorder="1"/>
    <xf numFmtId="174" fontId="25" fillId="14" borderId="8" xfId="0" applyNumberFormat="1" applyFont="1" applyFill="1" applyBorder="1" applyAlignment="1">
      <alignment horizontal="right"/>
    </xf>
    <xf numFmtId="174" fontId="23" fillId="0" borderId="0" xfId="0" applyNumberFormat="1" applyFont="1" applyAlignment="1">
      <alignment wrapText="1"/>
    </xf>
    <xf numFmtId="174" fontId="25" fillId="0" borderId="0" xfId="0" applyNumberFormat="1" applyFont="1" applyAlignment="1">
      <alignment wrapText="1"/>
    </xf>
    <xf numFmtId="174" fontId="25" fillId="14" borderId="8" xfId="0" applyNumberFormat="1" applyFont="1" applyFill="1" applyBorder="1" applyAlignment="1">
      <alignment wrapText="1"/>
    </xf>
    <xf numFmtId="174" fontId="25" fillId="0" borderId="13" xfId="0" applyNumberFormat="1" applyFont="1" applyBorder="1" applyAlignment="1">
      <alignment wrapText="1"/>
    </xf>
    <xf numFmtId="174" fontId="23" fillId="0" borderId="13" xfId="0" applyNumberFormat="1" applyFont="1" applyBorder="1" applyAlignment="1">
      <alignment horizontal="right"/>
    </xf>
    <xf numFmtId="169" fontId="30" fillId="0" borderId="0" xfId="0" applyNumberFormat="1" applyFont="1" applyAlignment="1">
      <alignment horizontal="left" wrapText="1"/>
    </xf>
    <xf numFmtId="167" fontId="23" fillId="0" borderId="0" xfId="0" applyNumberFormat="1" applyFont="1" applyAlignment="1">
      <alignment horizontal="left" wrapText="1"/>
    </xf>
    <xf numFmtId="167" fontId="18" fillId="0" borderId="0" xfId="0" applyNumberFormat="1" applyFont="1" applyAlignment="1">
      <alignment horizontal="right"/>
    </xf>
    <xf numFmtId="167" fontId="23" fillId="0" borderId="2" xfId="0" applyNumberFormat="1" applyFont="1" applyBorder="1" applyAlignment="1">
      <alignment horizontal="left" wrapText="1"/>
    </xf>
    <xf numFmtId="167" fontId="18" fillId="0" borderId="2" xfId="0" applyNumberFormat="1" applyFont="1" applyBorder="1" applyAlignment="1">
      <alignment horizontal="right"/>
    </xf>
    <xf numFmtId="0" fontId="23" fillId="0" borderId="2" xfId="0" applyFont="1" applyBorder="1" applyAlignment="1">
      <alignment horizontal="left" wrapText="1"/>
    </xf>
    <xf numFmtId="1" fontId="27" fillId="0" borderId="0" xfId="0" applyNumberFormat="1" applyFont="1" applyAlignment="1">
      <alignment horizontal="right"/>
    </xf>
    <xf numFmtId="164" fontId="27" fillId="0" borderId="2" xfId="0" applyNumberFormat="1" applyFont="1" applyBorder="1" applyAlignment="1">
      <alignment horizontal="right"/>
    </xf>
    <xf numFmtId="0" fontId="23" fillId="0" borderId="10" xfId="0" applyFont="1" applyBorder="1" applyAlignment="1">
      <alignment horizontal="left" wrapText="1"/>
    </xf>
    <xf numFmtId="165" fontId="18" fillId="0" borderId="10" xfId="0" applyNumberFormat="1" applyFont="1" applyBorder="1" applyAlignment="1">
      <alignment horizontal="right"/>
    </xf>
    <xf numFmtId="169" fontId="27" fillId="0" borderId="10" xfId="0" applyNumberFormat="1" applyFont="1" applyBorder="1" applyAlignment="1">
      <alignment horizontal="right"/>
    </xf>
    <xf numFmtId="169" fontId="27" fillId="0" borderId="2" xfId="0" applyNumberFormat="1" applyFont="1" applyBorder="1" applyAlignment="1">
      <alignment horizontal="right"/>
    </xf>
    <xf numFmtId="0" fontId="23" fillId="0" borderId="10" xfId="0" applyFont="1" applyBorder="1" applyAlignment="1">
      <alignment wrapText="1"/>
    </xf>
    <xf numFmtId="165" fontId="27" fillId="0" borderId="2" xfId="0" applyNumberFormat="1" applyFont="1" applyBorder="1" applyAlignment="1">
      <alignment horizontal="right"/>
    </xf>
    <xf numFmtId="167" fontId="27" fillId="0" borderId="0" xfId="0" applyNumberFormat="1" applyFont="1" applyBorder="1" applyAlignment="1">
      <alignment horizontal="right"/>
    </xf>
    <xf numFmtId="0" fontId="23" fillId="0" borderId="10" xfId="0" applyFont="1" applyBorder="1"/>
    <xf numFmtId="167" fontId="27" fillId="0" borderId="10" xfId="0" applyNumberFormat="1" applyFont="1" applyBorder="1" applyAlignment="1">
      <alignment horizontal="right"/>
    </xf>
    <xf numFmtId="165" fontId="27" fillId="0" borderId="10" xfId="0" applyNumberFormat="1" applyFont="1" applyBorder="1" applyAlignment="1">
      <alignment horizontal="right"/>
    </xf>
    <xf numFmtId="165" fontId="27" fillId="0" borderId="0" xfId="0" applyNumberFormat="1" applyFont="1" applyBorder="1" applyAlignment="1">
      <alignment horizontal="right" wrapText="1"/>
    </xf>
    <xf numFmtId="169" fontId="27" fillId="0" borderId="0" xfId="0" applyNumberFormat="1" applyFont="1" applyBorder="1" applyAlignment="1">
      <alignment horizontal="right" wrapText="1"/>
    </xf>
    <xf numFmtId="0" fontId="18" fillId="0" borderId="0" xfId="0" applyFont="1" applyBorder="1" applyAlignment="1">
      <alignment horizontal="left" wrapText="1"/>
    </xf>
    <xf numFmtId="165" fontId="27" fillId="0" borderId="2" xfId="0" applyNumberFormat="1" applyFont="1" applyBorder="1" applyAlignment="1">
      <alignment horizontal="right" wrapText="1"/>
    </xf>
    <xf numFmtId="0" fontId="23" fillId="0" borderId="10" xfId="0" applyFont="1" applyBorder="1" applyAlignment="1">
      <alignment horizontal="left"/>
    </xf>
    <xf numFmtId="0" fontId="27" fillId="0" borderId="0" xfId="0" applyFont="1" applyBorder="1" applyAlignment="1">
      <alignment horizontal="right"/>
    </xf>
    <xf numFmtId="0" fontId="27" fillId="0" borderId="2" xfId="0" applyFont="1" applyBorder="1" applyAlignment="1">
      <alignment horizontal="right"/>
    </xf>
    <xf numFmtId="168" fontId="27" fillId="0" borderId="0" xfId="0" applyNumberFormat="1" applyFont="1" applyBorder="1" applyAlignment="1">
      <alignment horizontal="right"/>
    </xf>
    <xf numFmtId="168" fontId="27" fillId="0" borderId="2" xfId="0" applyNumberFormat="1" applyFont="1" applyBorder="1" applyAlignment="1">
      <alignment horizontal="right"/>
    </xf>
    <xf numFmtId="0" fontId="34" fillId="7" borderId="0" xfId="0" applyFont="1" applyFill="1" applyAlignment="1">
      <alignment wrapText="1"/>
    </xf>
    <xf numFmtId="174" fontId="18" fillId="0" borderId="10" xfId="0" applyNumberFormat="1" applyFont="1" applyBorder="1"/>
    <xf numFmtId="0" fontId="62" fillId="13" borderId="0" xfId="0" applyFont="1" applyFill="1" applyBorder="1"/>
    <xf numFmtId="0" fontId="62" fillId="9" borderId="0" xfId="0" applyFont="1" applyFill="1" applyAlignment="1">
      <alignment wrapText="1"/>
    </xf>
    <xf numFmtId="174" fontId="28" fillId="3" borderId="0" xfId="0" applyNumberFormat="1" applyFont="1" applyFill="1" applyAlignment="1">
      <alignment horizontal="right"/>
    </xf>
    <xf numFmtId="0" fontId="40" fillId="6" borderId="13" xfId="0" applyFont="1" applyFill="1" applyBorder="1" applyAlignment="1">
      <alignment wrapText="1"/>
    </xf>
    <xf numFmtId="174" fontId="40" fillId="6" borderId="13" xfId="0" applyNumberFormat="1" applyFont="1" applyFill="1" applyBorder="1" applyAlignment="1">
      <alignment horizontal="right"/>
    </xf>
    <xf numFmtId="174" fontId="40" fillId="7" borderId="13" xfId="0" applyNumberFormat="1" applyFont="1" applyFill="1" applyBorder="1" applyAlignment="1">
      <alignment horizontal="right"/>
    </xf>
    <xf numFmtId="174" fontId="22" fillId="7" borderId="13" xfId="0" applyNumberFormat="1" applyFont="1" applyFill="1" applyBorder="1" applyAlignment="1">
      <alignment horizontal="right"/>
    </xf>
    <xf numFmtId="0" fontId="28" fillId="8" borderId="8" xfId="0" applyFont="1" applyFill="1" applyBorder="1" applyAlignment="1">
      <alignment wrapText="1"/>
    </xf>
    <xf numFmtId="174" fontId="18" fillId="8" borderId="8" xfId="0" applyNumberFormat="1" applyFont="1" applyFill="1" applyBorder="1" applyAlignment="1">
      <alignment horizontal="right"/>
    </xf>
    <xf numFmtId="174" fontId="28" fillId="8" borderId="8" xfId="0" applyNumberFormat="1" applyFont="1" applyFill="1" applyBorder="1" applyAlignment="1">
      <alignment horizontal="right"/>
    </xf>
    <xf numFmtId="0" fontId="28" fillId="13" borderId="3" xfId="0" applyFont="1" applyFill="1" applyBorder="1" applyAlignment="1">
      <alignment horizontal="center"/>
    </xf>
    <xf numFmtId="0" fontId="18" fillId="3" borderId="3" xfId="0" applyFont="1" applyFill="1" applyBorder="1" applyAlignment="1">
      <alignment wrapText="1"/>
    </xf>
    <xf numFmtId="1" fontId="36" fillId="0" borderId="3" xfId="0" applyNumberFormat="1" applyFont="1" applyBorder="1" applyAlignment="1">
      <alignment wrapText="1"/>
    </xf>
    <xf numFmtId="9" fontId="27" fillId="0" borderId="3" xfId="0" applyNumberFormat="1" applyFont="1" applyBorder="1" applyAlignment="1">
      <alignment wrapText="1"/>
    </xf>
    <xf numFmtId="0" fontId="18" fillId="3" borderId="3" xfId="0" applyFont="1" applyFill="1" applyBorder="1" applyAlignment="1">
      <alignment horizontal="right" wrapText="1"/>
    </xf>
    <xf numFmtId="0" fontId="27" fillId="0" borderId="3" xfId="0" applyFont="1" applyBorder="1" applyAlignment="1">
      <alignment horizontal="right" wrapText="1"/>
    </xf>
    <xf numFmtId="10" fontId="18" fillId="0" borderId="3" xfId="0" applyNumberFormat="1" applyFont="1" applyBorder="1" applyAlignment="1">
      <alignment horizontal="right" wrapText="1"/>
    </xf>
    <xf numFmtId="0" fontId="28" fillId="0" borderId="3" xfId="0" applyFont="1" applyBorder="1" applyAlignment="1">
      <alignment horizontal="right"/>
    </xf>
    <xf numFmtId="10" fontId="18" fillId="0" borderId="3" xfId="0" applyNumberFormat="1" applyFont="1" applyBorder="1" applyAlignment="1">
      <alignment horizontal="right"/>
    </xf>
    <xf numFmtId="0" fontId="30" fillId="0" borderId="0" xfId="0" applyFont="1" applyAlignment="1">
      <alignment horizontal="center" wrapText="1"/>
    </xf>
    <xf numFmtId="0" fontId="72" fillId="0" borderId="0" xfId="0" applyFont="1" applyAlignment="1">
      <alignment horizontal="left" vertical="top" wrapText="1" indent="1"/>
    </xf>
    <xf numFmtId="0" fontId="52" fillId="4" borderId="3" xfId="0" applyFont="1" applyFill="1" applyBorder="1" applyAlignment="1">
      <alignment horizontal="center"/>
    </xf>
    <xf numFmtId="0" fontId="52" fillId="4" borderId="3" xfId="0" applyFont="1" applyFill="1" applyBorder="1" applyAlignment="1">
      <alignment horizontal="center" wrapText="1"/>
    </xf>
    <xf numFmtId="0" fontId="52" fillId="0" borderId="3" xfId="0" applyFont="1" applyBorder="1" applyAlignment="1">
      <alignment horizontal="center" wrapText="1"/>
    </xf>
    <xf numFmtId="0" fontId="64" fillId="6" borderId="3" xfId="0" applyFont="1" applyFill="1" applyBorder="1" applyAlignment="1">
      <alignment horizontal="center" wrapText="1"/>
    </xf>
    <xf numFmtId="0" fontId="26" fillId="0" borderId="2" xfId="0" applyFont="1" applyBorder="1" applyAlignment="1">
      <alignment horizontal="left" wrapText="1"/>
    </xf>
    <xf numFmtId="0" fontId="26" fillId="0" borderId="0" xfId="0" applyFont="1" applyAlignment="1">
      <alignment horizontal="left" wrapText="1"/>
    </xf>
    <xf numFmtId="0" fontId="26" fillId="0" borderId="0" xfId="0" applyFont="1" applyBorder="1" applyAlignment="1">
      <alignment horizontal="left" wrapText="1"/>
    </xf>
    <xf numFmtId="0" fontId="34" fillId="6" borderId="0" xfId="0" applyFont="1" applyFill="1" applyAlignment="1">
      <alignment wrapText="1"/>
    </xf>
    <xf numFmtId="0" fontId="23" fillId="0" borderId="0" xfId="0" applyFont="1" applyAlignment="1">
      <alignment horizontal="center"/>
    </xf>
    <xf numFmtId="0" fontId="29" fillId="0" borderId="3" xfId="0" applyFont="1" applyBorder="1" applyAlignment="1">
      <alignment horizontal="center" wrapText="1"/>
    </xf>
    <xf numFmtId="0" fontId="28" fillId="13" borderId="3" xfId="0" applyFont="1" applyFill="1" applyBorder="1" applyAlignment="1">
      <alignment horizontal="center" wrapText="1"/>
    </xf>
    <xf numFmtId="0" fontId="18" fillId="0" borderId="0" xfId="0" applyFont="1" applyAlignment="1">
      <alignment wrapText="1"/>
    </xf>
    <xf numFmtId="0" fontId="22" fillId="7" borderId="0" xfId="0" applyFont="1" applyFill="1" applyAlignment="1">
      <alignment wrapText="1"/>
    </xf>
    <xf numFmtId="174" fontId="25" fillId="0" borderId="0" xfId="0" applyNumberFormat="1" applyFont="1" applyAlignment="1">
      <alignment horizontal="right"/>
    </xf>
    <xf numFmtId="174" fontId="52" fillId="0" borderId="0" xfId="0" quotePrefix="1" applyNumberFormat="1" applyFont="1" applyFill="1" applyAlignment="1">
      <alignment horizontal="right"/>
    </xf>
    <xf numFmtId="0" fontId="29" fillId="0" borderId="3" xfId="0" applyFont="1" applyBorder="1" applyAlignment="1">
      <alignment horizontal="center"/>
    </xf>
    <xf numFmtId="0" fontId="28" fillId="13" borderId="7" xfId="0" applyFont="1" applyFill="1" applyBorder="1" applyAlignment="1">
      <alignment horizontal="right"/>
    </xf>
    <xf numFmtId="174" fontId="18" fillId="0" borderId="7" xfId="0" applyNumberFormat="1" applyFont="1" applyBorder="1"/>
    <xf numFmtId="174" fontId="32" fillId="0" borderId="3" xfId="0" applyNumberFormat="1" applyFont="1" applyBorder="1"/>
    <xf numFmtId="174" fontId="32" fillId="0" borderId="6" xfId="0" applyNumberFormat="1" applyFont="1" applyBorder="1" applyAlignment="1">
      <alignment wrapText="1"/>
    </xf>
    <xf numFmtId="174" fontId="32" fillId="0" borderId="3" xfId="0" applyNumberFormat="1" applyFont="1" applyBorder="1" applyAlignment="1">
      <alignment horizontal="right" wrapText="1"/>
    </xf>
    <xf numFmtId="169" fontId="32" fillId="0" borderId="3" xfId="0" applyNumberFormat="1" applyFont="1" applyBorder="1"/>
    <xf numFmtId="169" fontId="32" fillId="0" borderId="6" xfId="0" applyNumberFormat="1" applyFont="1" applyBorder="1" applyAlignment="1">
      <alignment wrapText="1"/>
    </xf>
    <xf numFmtId="169" fontId="27" fillId="0" borderId="3" xfId="0" applyNumberFormat="1" applyFont="1" applyBorder="1" applyAlignment="1">
      <alignment horizontal="right" wrapText="1"/>
    </xf>
    <xf numFmtId="169" fontId="27" fillId="0" borderId="3" xfId="0" applyNumberFormat="1" applyFont="1" applyBorder="1" applyAlignment="1">
      <alignment horizontal="right"/>
    </xf>
    <xf numFmtId="169" fontId="32" fillId="0" borderId="3" xfId="0" applyNumberFormat="1" applyFont="1" applyBorder="1" applyAlignment="1">
      <alignment horizontal="right" wrapText="1"/>
    </xf>
    <xf numFmtId="166" fontId="23" fillId="0" borderId="6" xfId="0" applyNumberFormat="1" applyFont="1" applyBorder="1"/>
    <xf numFmtId="169" fontId="18" fillId="0" borderId="7" xfId="0" applyNumberFormat="1" applyFont="1" applyBorder="1"/>
    <xf numFmtId="169" fontId="18" fillId="0" borderId="6" xfId="0" applyNumberFormat="1" applyFont="1" applyBorder="1"/>
    <xf numFmtId="3" fontId="18" fillId="0" borderId="5" xfId="0" applyNumberFormat="1" applyFont="1" applyBorder="1" applyAlignment="1">
      <alignment horizontal="right" wrapText="1"/>
    </xf>
    <xf numFmtId="0" fontId="28" fillId="0" borderId="5" xfId="0" applyFont="1" applyBorder="1" applyAlignment="1">
      <alignment horizontal="right"/>
    </xf>
    <xf numFmtId="0" fontId="34" fillId="5" borderId="18" xfId="0" applyFont="1" applyFill="1" applyBorder="1" applyAlignment="1">
      <alignment wrapText="1"/>
    </xf>
    <xf numFmtId="0" fontId="28" fillId="13" borderId="6" xfId="0" applyFont="1" applyFill="1" applyBorder="1" applyAlignment="1">
      <alignment wrapText="1"/>
    </xf>
    <xf numFmtId="0" fontId="18" fillId="0" borderId="6" xfId="0" applyFont="1" applyBorder="1" applyAlignment="1">
      <alignment horizontal="right" wrapText="1"/>
    </xf>
    <xf numFmtId="0" fontId="28" fillId="13" borderId="19" xfId="0" applyFont="1" applyFill="1" applyBorder="1" applyAlignment="1">
      <alignment horizontal="center" wrapText="1"/>
    </xf>
    <xf numFmtId="0" fontId="78" fillId="0" borderId="0" xfId="0" applyFont="1" applyAlignment="1">
      <alignment vertical="center" wrapText="1"/>
    </xf>
    <xf numFmtId="0" fontId="22" fillId="5" borderId="0" xfId="0" applyFont="1" applyFill="1" applyAlignment="1">
      <alignment horizontal="center" vertical="center"/>
    </xf>
    <xf numFmtId="0" fontId="29" fillId="0" borderId="0" xfId="0" applyFont="1" applyAlignment="1">
      <alignment horizontal="center" vertical="center"/>
    </xf>
    <xf numFmtId="0" fontId="22" fillId="7" borderId="0" xfId="0" applyFont="1" applyFill="1" applyAlignment="1">
      <alignment horizontal="center" vertical="center"/>
    </xf>
    <xf numFmtId="0" fontId="22" fillId="7" borderId="0" xfId="0" applyFont="1" applyFill="1" applyAlignment="1">
      <alignment horizontal="center"/>
    </xf>
    <xf numFmtId="0" fontId="26" fillId="0" borderId="4" xfId="0" applyFont="1" applyBorder="1" applyAlignment="1">
      <alignment horizontal="center"/>
    </xf>
    <xf numFmtId="0" fontId="34" fillId="5" borderId="3" xfId="0" applyFont="1" applyFill="1" applyBorder="1" applyAlignment="1">
      <alignment horizontal="center"/>
    </xf>
    <xf numFmtId="0" fontId="62" fillId="4" borderId="5" xfId="0" applyFont="1" applyFill="1" applyBorder="1" applyAlignment="1">
      <alignment horizontal="center"/>
    </xf>
    <xf numFmtId="0" fontId="23" fillId="0" borderId="3" xfId="0" applyFont="1" applyBorder="1" applyAlignment="1">
      <alignment horizontal="center" wrapText="1"/>
    </xf>
    <xf numFmtId="0" fontId="23" fillId="4" borderId="11" xfId="0" applyFont="1" applyFill="1" applyBorder="1" applyAlignment="1">
      <alignment horizontal="center" wrapText="1"/>
    </xf>
    <xf numFmtId="0" fontId="23" fillId="4" borderId="12" xfId="0" applyFont="1" applyFill="1" applyBorder="1" applyAlignment="1">
      <alignment horizontal="center" wrapText="1"/>
    </xf>
    <xf numFmtId="0" fontId="23" fillId="0" borderId="3" xfId="0" applyFont="1" applyBorder="1" applyAlignment="1">
      <alignment horizontal="center" vertical="center" wrapText="1"/>
    </xf>
    <xf numFmtId="0" fontId="23" fillId="4" borderId="6" xfId="0" applyFont="1" applyFill="1" applyBorder="1" applyAlignment="1">
      <alignment horizontal="center" wrapText="1"/>
    </xf>
    <xf numFmtId="0" fontId="23" fillId="4" borderId="7" xfId="0" applyFont="1" applyFill="1" applyBorder="1" applyAlignment="1">
      <alignment horizontal="center" wrapText="1"/>
    </xf>
    <xf numFmtId="0" fontId="34" fillId="6" borderId="0" xfId="0" applyFont="1" applyFill="1" applyAlignment="1">
      <alignment horizontal="center"/>
    </xf>
    <xf numFmtId="0" fontId="26" fillId="6" borderId="0" xfId="0" applyFont="1" applyFill="1" applyAlignment="1">
      <alignment horizontal="center"/>
    </xf>
    <xf numFmtId="0" fontId="64" fillId="5" borderId="0" xfId="0" applyFont="1" applyFill="1" applyAlignment="1">
      <alignment horizontal="center"/>
    </xf>
    <xf numFmtId="0" fontId="34" fillId="5" borderId="0" xfId="0" applyFont="1" applyFill="1" applyAlignment="1">
      <alignment horizontal="center"/>
    </xf>
    <xf numFmtId="0" fontId="26" fillId="5" borderId="0" xfId="0" applyFont="1" applyFill="1" applyAlignment="1">
      <alignment horizontal="center"/>
    </xf>
    <xf numFmtId="0" fontId="26" fillId="0" borderId="6" xfId="0" applyFont="1" applyBorder="1" applyAlignment="1">
      <alignment horizontal="left"/>
    </xf>
    <xf numFmtId="0" fontId="26" fillId="0" borderId="8" xfId="0" applyFont="1" applyBorder="1" applyAlignment="1">
      <alignment horizontal="left"/>
    </xf>
    <xf numFmtId="0" fontId="26" fillId="0" borderId="3" xfId="0" applyFont="1" applyBorder="1" applyAlignment="1">
      <alignment horizontal="left"/>
    </xf>
    <xf numFmtId="0" fontId="52" fillId="4" borderId="3" xfId="0" applyFont="1" applyFill="1" applyBorder="1" applyAlignment="1">
      <alignment horizontal="left"/>
    </xf>
    <xf numFmtId="0" fontId="52" fillId="4" borderId="6" xfId="0" applyFont="1" applyFill="1" applyBorder="1" applyAlignment="1">
      <alignment horizontal="left"/>
    </xf>
    <xf numFmtId="0" fontId="26" fillId="0" borderId="7" xfId="0" applyFont="1" applyBorder="1" applyAlignment="1">
      <alignment horizontal="center" wrapText="1"/>
    </xf>
    <xf numFmtId="0" fontId="26" fillId="0" borderId="3" xfId="0" applyFont="1" applyBorder="1" applyAlignment="1">
      <alignment horizontal="center" wrapText="1"/>
    </xf>
    <xf numFmtId="0" fontId="52" fillId="4" borderId="7" xfId="0" quotePrefix="1" applyFont="1" applyFill="1" applyBorder="1" applyAlignment="1">
      <alignment horizontal="center" wrapText="1"/>
    </xf>
    <xf numFmtId="0" fontId="52" fillId="4" borderId="3" xfId="0" applyFont="1" applyFill="1" applyBorder="1" applyAlignment="1">
      <alignment horizontal="center" wrapText="1"/>
    </xf>
    <xf numFmtId="0" fontId="26" fillId="4" borderId="3" xfId="0" applyFont="1" applyFill="1" applyBorder="1" applyAlignment="1">
      <alignment horizontal="center" wrapText="1"/>
    </xf>
    <xf numFmtId="0" fontId="26" fillId="4" borderId="3" xfId="0" applyFont="1" applyFill="1" applyBorder="1" applyAlignment="1">
      <alignment horizontal="center"/>
    </xf>
    <xf numFmtId="0" fontId="23" fillId="0" borderId="6" xfId="0" applyFont="1" applyBorder="1" applyAlignment="1">
      <alignment horizontal="center" wrapText="1"/>
    </xf>
    <xf numFmtId="0" fontId="23" fillId="0" borderId="7" xfId="0" applyFont="1" applyBorder="1" applyAlignment="1">
      <alignment horizontal="center" wrapText="1"/>
    </xf>
    <xf numFmtId="0" fontId="65" fillId="5" borderId="0" xfId="0" applyFont="1" applyFill="1" applyAlignment="1">
      <alignment horizontal="left" vertical="center" wrapText="1" indent="2"/>
    </xf>
    <xf numFmtId="0" fontId="74" fillId="4" borderId="0" xfId="0" applyFont="1" applyFill="1" applyAlignment="1">
      <alignment horizontal="left" vertical="center" wrapText="1" indent="1"/>
    </xf>
    <xf numFmtId="0" fontId="34" fillId="6" borderId="0" xfId="0" applyFont="1" applyFill="1" applyAlignment="1">
      <alignment horizontal="left" indent="2"/>
    </xf>
    <xf numFmtId="0" fontId="26" fillId="6" borderId="0" xfId="0" applyFont="1" applyFill="1" applyAlignment="1">
      <alignment horizontal="left" indent="2"/>
    </xf>
    <xf numFmtId="0" fontId="67" fillId="5" borderId="0" xfId="0" applyFont="1" applyFill="1" applyAlignment="1">
      <alignment horizontal="left" vertical="center" indent="2"/>
    </xf>
    <xf numFmtId="0" fontId="52" fillId="10" borderId="0" xfId="0" applyFont="1" applyFill="1" applyAlignment="1">
      <alignment horizontal="left" indent="2"/>
    </xf>
    <xf numFmtId="0" fontId="21" fillId="4" borderId="0" xfId="0" applyFont="1" applyFill="1" applyAlignment="1">
      <alignment horizontal="left" vertical="center" indent="2"/>
    </xf>
    <xf numFmtId="0" fontId="64" fillId="5" borderId="3" xfId="0" applyFont="1" applyFill="1" applyBorder="1" applyAlignment="1">
      <alignment horizontal="center"/>
    </xf>
    <xf numFmtId="0" fontId="52" fillId="0" borderId="3" xfId="0" applyFont="1" applyBorder="1" applyAlignment="1">
      <alignment horizontal="center"/>
    </xf>
    <xf numFmtId="0" fontId="26" fillId="0" borderId="3" xfId="0" applyFont="1" applyBorder="1" applyAlignment="1">
      <alignment horizontal="center"/>
    </xf>
    <xf numFmtId="0" fontId="52" fillId="4" borderId="3" xfId="0" applyFont="1" applyFill="1" applyBorder="1" applyAlignment="1">
      <alignment horizontal="center"/>
    </xf>
    <xf numFmtId="0" fontId="26" fillId="0" borderId="0" xfId="0" applyFont="1" applyAlignment="1">
      <alignment horizontal="left" wrapText="1"/>
    </xf>
    <xf numFmtId="0" fontId="55" fillId="2" borderId="0" xfId="0" applyFont="1" applyFill="1" applyAlignment="1">
      <alignment horizontal="left" wrapText="1"/>
    </xf>
    <xf numFmtId="0" fontId="26" fillId="4" borderId="0" xfId="0" applyFont="1" applyFill="1" applyAlignment="1">
      <alignment horizontal="left" wrapText="1"/>
    </xf>
    <xf numFmtId="0" fontId="64" fillId="6" borderId="3" xfId="0" applyFont="1" applyFill="1" applyBorder="1" applyAlignment="1">
      <alignment horizontal="center"/>
    </xf>
    <xf numFmtId="178" fontId="23" fillId="0" borderId="6" xfId="0" applyNumberFormat="1" applyFont="1" applyBorder="1" applyAlignment="1">
      <alignment horizontal="center" wrapText="1"/>
    </xf>
    <xf numFmtId="178" fontId="23" fillId="0" borderId="7" xfId="0" applyNumberFormat="1" applyFont="1" applyBorder="1" applyAlignment="1">
      <alignment horizontal="center" wrapText="1"/>
    </xf>
    <xf numFmtId="0" fontId="20" fillId="5" borderId="0" xfId="0" applyFont="1" applyFill="1" applyAlignment="1">
      <alignment horizontal="center"/>
    </xf>
    <xf numFmtId="9" fontId="26" fillId="4" borderId="9" xfId="0" applyNumberFormat="1" applyFont="1" applyFill="1" applyBorder="1" applyAlignment="1">
      <alignment horizontal="center" wrapText="1"/>
    </xf>
    <xf numFmtId="0" fontId="26" fillId="4" borderId="9" xfId="0" applyFont="1" applyFill="1" applyBorder="1" applyAlignment="1">
      <alignment horizontal="center" wrapText="1"/>
    </xf>
    <xf numFmtId="0" fontId="68" fillId="6" borderId="0" xfId="0" applyFont="1" applyFill="1" applyAlignment="1">
      <alignment horizontal="center" vertical="center" wrapText="1"/>
    </xf>
    <xf numFmtId="0" fontId="73" fillId="4" borderId="6" xfId="1" applyFont="1" applyFill="1" applyBorder="1" applyAlignment="1">
      <alignment horizontal="center" wrapText="1"/>
    </xf>
    <xf numFmtId="0" fontId="73" fillId="4" borderId="7" xfId="1" applyFont="1" applyFill="1" applyBorder="1" applyAlignment="1">
      <alignment horizontal="center" wrapText="1"/>
    </xf>
    <xf numFmtId="0" fontId="26" fillId="0" borderId="2" xfId="0" applyFont="1" applyBorder="1" applyAlignment="1">
      <alignment horizontal="left" wrapText="1"/>
    </xf>
    <xf numFmtId="0" fontId="55" fillId="4" borderId="1" xfId="0" applyFont="1" applyFill="1" applyBorder="1" applyAlignment="1">
      <alignment horizontal="left" wrapText="1"/>
    </xf>
    <xf numFmtId="0" fontId="26" fillId="0" borderId="0" xfId="0" applyFont="1" applyBorder="1" applyAlignment="1">
      <alignment horizontal="left" wrapText="1"/>
    </xf>
    <xf numFmtId="0" fontId="26" fillId="4" borderId="10" xfId="0" applyFont="1" applyFill="1" applyBorder="1" applyAlignment="1">
      <alignment horizontal="left" wrapText="1"/>
    </xf>
    <xf numFmtId="0" fontId="55" fillId="4" borderId="0" xfId="0" applyFont="1" applyFill="1" applyAlignment="1">
      <alignment horizontal="left" wrapText="1"/>
    </xf>
    <xf numFmtId="0" fontId="26" fillId="4" borderId="3" xfId="0" applyFont="1" applyFill="1" applyBorder="1" applyAlignment="1">
      <alignment horizontal="left" wrapText="1"/>
    </xf>
    <xf numFmtId="0" fontId="26" fillId="0" borderId="3" xfId="0" applyFont="1" applyBorder="1" applyAlignment="1">
      <alignment horizontal="left" wrapText="1"/>
    </xf>
    <xf numFmtId="0" fontId="64" fillId="6" borderId="3" xfId="0" applyFont="1" applyFill="1" applyBorder="1" applyAlignment="1">
      <alignment horizontal="center" wrapText="1"/>
    </xf>
    <xf numFmtId="0" fontId="52" fillId="0" borderId="3" xfId="0" applyFont="1" applyBorder="1" applyAlignment="1">
      <alignment horizontal="center" wrapText="1"/>
    </xf>
    <xf numFmtId="0" fontId="64" fillId="6" borderId="6" xfId="0" applyFont="1" applyFill="1" applyBorder="1" applyAlignment="1">
      <alignment horizontal="center" wrapText="1"/>
    </xf>
    <xf numFmtId="0" fontId="64" fillId="6" borderId="7" xfId="0" applyFont="1" applyFill="1" applyBorder="1" applyAlignment="1">
      <alignment horizontal="center" wrapText="1"/>
    </xf>
    <xf numFmtId="0" fontId="26" fillId="0" borderId="8" xfId="0" applyFont="1" applyBorder="1" applyAlignment="1">
      <alignment horizontal="center"/>
    </xf>
    <xf numFmtId="0" fontId="69" fillId="6" borderId="0" xfId="0" applyFont="1" applyFill="1" applyAlignment="1">
      <alignment horizontal="center" vertical="center" wrapText="1"/>
    </xf>
    <xf numFmtId="0" fontId="52" fillId="2" borderId="7" xfId="0" applyFont="1" applyFill="1" applyBorder="1" applyAlignment="1">
      <alignment horizontal="center" wrapText="1"/>
    </xf>
    <xf numFmtId="0" fontId="52" fillId="2" borderId="3" xfId="0" applyFont="1" applyFill="1" applyBorder="1" applyAlignment="1">
      <alignment horizontal="center" wrapText="1"/>
    </xf>
    <xf numFmtId="0" fontId="72" fillId="0" borderId="0" xfId="0" applyFont="1" applyAlignment="1">
      <alignment horizontal="left" vertical="top" wrapText="1" indent="1"/>
    </xf>
    <xf numFmtId="10" fontId="52" fillId="0" borderId="3" xfId="0" applyNumberFormat="1" applyFont="1" applyBorder="1" applyAlignment="1">
      <alignment horizontal="center"/>
    </xf>
    <xf numFmtId="0" fontId="0" fillId="0" borderId="0" xfId="0" applyAlignment="1">
      <alignment horizontal="center"/>
    </xf>
    <xf numFmtId="3" fontId="52" fillId="4" borderId="3" xfId="0" applyNumberFormat="1" applyFont="1" applyFill="1" applyBorder="1" applyAlignment="1">
      <alignment horizontal="center"/>
    </xf>
    <xf numFmtId="0" fontId="59" fillId="5" borderId="0" xfId="0" applyFont="1" applyFill="1" applyAlignment="1">
      <alignment horizontal="center"/>
    </xf>
    <xf numFmtId="0" fontId="60" fillId="5" borderId="0" xfId="0" applyFont="1" applyFill="1" applyAlignment="1">
      <alignment horizontal="center"/>
    </xf>
    <xf numFmtId="0" fontId="34" fillId="6" borderId="0" xfId="0" applyFont="1" applyFill="1" applyAlignment="1">
      <alignment horizontal="left" wrapText="1"/>
    </xf>
    <xf numFmtId="0" fontId="34" fillId="6" borderId="0" xfId="0" applyFont="1" applyFill="1" applyBorder="1" applyAlignment="1">
      <alignment horizontal="center" wrapText="1"/>
    </xf>
    <xf numFmtId="166" fontId="27" fillId="0" borderId="0" xfId="0" applyNumberFormat="1" applyFont="1" applyBorder="1" applyAlignment="1">
      <alignment horizontal="center"/>
    </xf>
    <xf numFmtId="166" fontId="27" fillId="0" borderId="10" xfId="0" applyNumberFormat="1" applyFont="1" applyBorder="1" applyAlignment="1">
      <alignment horizontal="center" vertical="center" indent="2"/>
    </xf>
    <xf numFmtId="0" fontId="53" fillId="5" borderId="0" xfId="0" applyFont="1" applyFill="1" applyAlignment="1">
      <alignment horizontal="center"/>
    </xf>
    <xf numFmtId="0" fontId="34" fillId="6" borderId="0" xfId="0" applyFont="1" applyFill="1" applyAlignment="1">
      <alignment horizontal="center" wrapText="1"/>
    </xf>
    <xf numFmtId="0" fontId="53" fillId="5" borderId="0" xfId="0" applyFont="1" applyFill="1" applyAlignment="1">
      <alignment horizontal="center" vertical="center"/>
    </xf>
    <xf numFmtId="0" fontId="48" fillId="0" borderId="2" xfId="0" applyFont="1" applyBorder="1" applyAlignment="1">
      <alignment horizontal="center"/>
    </xf>
    <xf numFmtId="0" fontId="48" fillId="0" borderId="2" xfId="0" applyFont="1" applyBorder="1" applyAlignment="1">
      <alignment horizontal="center" wrapText="1"/>
    </xf>
    <xf numFmtId="0" fontId="23" fillId="4" borderId="0" xfId="0" applyFont="1" applyFill="1" applyAlignment="1">
      <alignment horizontal="center"/>
    </xf>
    <xf numFmtId="0" fontId="30" fillId="0" borderId="0" xfId="0" applyFont="1" applyAlignment="1">
      <alignment horizontal="center" wrapText="1"/>
    </xf>
    <xf numFmtId="0" fontId="30" fillId="0" borderId="7" xfId="0" applyFont="1" applyBorder="1" applyAlignment="1">
      <alignment horizontal="center" wrapText="1"/>
    </xf>
    <xf numFmtId="0" fontId="30" fillId="0" borderId="3" xfId="0" applyFont="1" applyBorder="1" applyAlignment="1">
      <alignment horizontal="center" wrapText="1"/>
    </xf>
    <xf numFmtId="0" fontId="75" fillId="0" borderId="7" xfId="0" applyFont="1" applyBorder="1" applyAlignment="1">
      <alignment horizontal="center"/>
    </xf>
    <xf numFmtId="0" fontId="75" fillId="0" borderId="3" xfId="0" applyFont="1" applyBorder="1" applyAlignment="1">
      <alignment horizontal="center"/>
    </xf>
    <xf numFmtId="0" fontId="30" fillId="0" borderId="8" xfId="0" applyFont="1" applyBorder="1" applyAlignment="1">
      <alignment horizontal="center" wrapText="1"/>
    </xf>
    <xf numFmtId="0" fontId="23" fillId="0" borderId="3" xfId="0" applyFont="1" applyBorder="1" applyAlignment="1">
      <alignment horizontal="center"/>
    </xf>
    <xf numFmtId="0" fontId="52" fillId="6" borderId="0" xfId="0" applyFont="1" applyFill="1" applyAlignment="1">
      <alignment horizontal="left" wrapText="1"/>
    </xf>
    <xf numFmtId="0" fontId="10" fillId="0" borderId="0" xfId="0" applyFont="1" applyAlignment="1">
      <alignment horizontal="left"/>
    </xf>
    <xf numFmtId="0" fontId="34" fillId="7" borderId="0" xfId="0" applyFont="1" applyFill="1" applyAlignment="1">
      <alignment horizontal="left" wrapText="1"/>
    </xf>
    <xf numFmtId="0" fontId="34" fillId="6" borderId="0" xfId="0" applyFont="1" applyFill="1" applyAlignment="1">
      <alignment horizontal="left"/>
    </xf>
    <xf numFmtId="0" fontId="34" fillId="6" borderId="0" xfId="0" applyFont="1" applyFill="1" applyAlignment="1">
      <alignment horizontal="left" vertical="center" wrapText="1"/>
    </xf>
    <xf numFmtId="0" fontId="34" fillId="6" borderId="0" xfId="0" applyFont="1" applyFill="1" applyAlignment="1">
      <alignment wrapText="1"/>
    </xf>
    <xf numFmtId="0" fontId="28" fillId="13" borderId="3" xfId="0" applyFont="1" applyFill="1" applyBorder="1" applyAlignment="1">
      <alignment horizontal="center" wrapText="1"/>
    </xf>
    <xf numFmtId="0" fontId="28" fillId="14" borderId="3" xfId="0" applyFont="1" applyFill="1" applyBorder="1" applyAlignment="1">
      <alignment horizontal="center" wrapText="1"/>
    </xf>
    <xf numFmtId="0" fontId="29" fillId="0" borderId="3" xfId="0" applyFont="1" applyBorder="1" applyAlignment="1">
      <alignment horizontal="center" wrapText="1"/>
    </xf>
    <xf numFmtId="0" fontId="22" fillId="6" borderId="0" xfId="0" applyFont="1" applyFill="1" applyAlignment="1">
      <alignment horizontal="center" vertical="center"/>
    </xf>
    <xf numFmtId="0" fontId="22" fillId="6" borderId="0" xfId="0" applyFont="1" applyFill="1" applyAlignment="1">
      <alignment horizontal="center"/>
    </xf>
    <xf numFmtId="0" fontId="18" fillId="0" borderId="3" xfId="0" applyFont="1" applyBorder="1" applyAlignment="1">
      <alignment horizontal="center" wrapText="1"/>
    </xf>
    <xf numFmtId="0" fontId="23" fillId="0" borderId="14" xfId="0" applyFont="1" applyBorder="1" applyAlignment="1">
      <alignment horizontal="center" wrapText="1"/>
    </xf>
    <xf numFmtId="0" fontId="23" fillId="0" borderId="0" xfId="0" applyFont="1" applyAlignment="1">
      <alignment horizontal="center" wrapText="1"/>
    </xf>
    <xf numFmtId="0" fontId="59" fillId="5" borderId="0" xfId="0" applyFont="1" applyFill="1" applyAlignment="1">
      <alignment horizontal="center" vertical="center" wrapText="1"/>
    </xf>
    <xf numFmtId="0" fontId="76" fillId="0" borderId="0" xfId="0" applyFont="1" applyAlignment="1">
      <alignment horizontal="center" vertical="center"/>
    </xf>
    <xf numFmtId="0" fontId="29" fillId="0" borderId="6" xfId="0" applyFont="1" applyBorder="1" applyAlignment="1">
      <alignment horizontal="center" vertical="top" wrapText="1"/>
    </xf>
    <xf numFmtId="0" fontId="29" fillId="0" borderId="8" xfId="0" applyFont="1" applyBorder="1" applyAlignment="1">
      <alignment horizontal="center" vertical="top" wrapText="1"/>
    </xf>
    <xf numFmtId="0" fontId="29" fillId="0" borderId="7" xfId="0" applyFont="1" applyBorder="1" applyAlignment="1">
      <alignment horizontal="center" vertical="top" wrapText="1"/>
    </xf>
    <xf numFmtId="0" fontId="29" fillId="0" borderId="3" xfId="0" applyFont="1" applyBorder="1" applyAlignment="1">
      <alignment horizontal="center"/>
    </xf>
    <xf numFmtId="0" fontId="18" fillId="0" borderId="3" xfId="0" applyFont="1" applyBorder="1" applyAlignment="1">
      <alignment horizontal="left" wrapText="1"/>
    </xf>
    <xf numFmtId="0" fontId="43" fillId="0" borderId="3" xfId="0" applyFont="1" applyBorder="1" applyAlignment="1">
      <alignment horizontal="left" wrapText="1"/>
    </xf>
    <xf numFmtId="0" fontId="28" fillId="14" borderId="3" xfId="0" applyFont="1" applyFill="1" applyBorder="1" applyAlignment="1">
      <alignment horizontal="left" wrapText="1"/>
    </xf>
    <xf numFmtId="0" fontId="44" fillId="0" borderId="0" xfId="0" applyFont="1" applyAlignment="1">
      <alignment horizontal="center"/>
    </xf>
    <xf numFmtId="0" fontId="23" fillId="0" borderId="0" xfId="0" applyFont="1" applyAlignment="1">
      <alignment horizontal="center"/>
    </xf>
    <xf numFmtId="0" fontId="28" fillId="13" borderId="15" xfId="0" applyFont="1" applyFill="1" applyBorder="1" applyAlignment="1">
      <alignment horizontal="center" wrapText="1"/>
    </xf>
    <xf numFmtId="0" fontId="28" fillId="13" borderId="1" xfId="0" applyFont="1" applyFill="1" applyBorder="1" applyAlignment="1">
      <alignment horizontal="center" wrapText="1"/>
    </xf>
    <xf numFmtId="0" fontId="28" fillId="13" borderId="8" xfId="0" applyFont="1" applyFill="1" applyBorder="1" applyAlignment="1">
      <alignment horizontal="center" wrapText="1"/>
    </xf>
    <xf numFmtId="0" fontId="39" fillId="0" borderId="0" xfId="0" applyFont="1" applyAlignment="1">
      <alignment wrapText="1"/>
    </xf>
    <xf numFmtId="0" fontId="33" fillId="0" borderId="0" xfId="0" applyFont="1" applyAlignment="1">
      <alignment wrapText="1"/>
    </xf>
    <xf numFmtId="0" fontId="38" fillId="0" borderId="15" xfId="0" applyFont="1" applyBorder="1" applyAlignment="1">
      <alignment horizontal="center" wrapText="1"/>
    </xf>
    <xf numFmtId="0" fontId="38" fillId="0" borderId="1" xfId="0" applyFont="1" applyBorder="1" applyAlignment="1">
      <alignment horizontal="center" wrapText="1"/>
    </xf>
    <xf numFmtId="0" fontId="38" fillId="0" borderId="16" xfId="0" applyFont="1" applyBorder="1" applyAlignment="1">
      <alignment horizontal="center" wrapText="1"/>
    </xf>
    <xf numFmtId="0" fontId="38" fillId="0" borderId="14" xfId="0" applyFont="1" applyBorder="1" applyAlignment="1">
      <alignment horizontal="center" wrapText="1"/>
    </xf>
    <xf numFmtId="0" fontId="38" fillId="0" borderId="0" xfId="0" applyFont="1" applyBorder="1" applyAlignment="1">
      <alignment horizontal="center" wrapText="1"/>
    </xf>
    <xf numFmtId="0" fontId="38" fillId="0" borderId="17" xfId="0" applyFont="1" applyBorder="1" applyAlignment="1">
      <alignment horizontal="center" wrapText="1"/>
    </xf>
    <xf numFmtId="0" fontId="38" fillId="0" borderId="11" xfId="0" applyFont="1" applyBorder="1" applyAlignment="1">
      <alignment horizontal="center" wrapText="1"/>
    </xf>
    <xf numFmtId="0" fontId="38" fillId="0" borderId="2" xfId="0" applyFont="1" applyBorder="1" applyAlignment="1">
      <alignment horizontal="center" wrapText="1"/>
    </xf>
    <xf numFmtId="0" fontId="38" fillId="0" borderId="12" xfId="0" applyFont="1" applyBorder="1" applyAlignment="1">
      <alignment horizontal="center" wrapText="1"/>
    </xf>
    <xf numFmtId="0" fontId="22" fillId="6" borderId="0" xfId="0" applyFont="1" applyFill="1" applyAlignment="1">
      <alignment wrapText="1"/>
    </xf>
    <xf numFmtId="0" fontId="18" fillId="0" borderId="0" xfId="0" applyFont="1" applyAlignment="1">
      <alignment wrapText="1"/>
    </xf>
    <xf numFmtId="0" fontId="22" fillId="7" borderId="0" xfId="0" applyFont="1" applyFill="1" applyAlignment="1">
      <alignment wrapText="1"/>
    </xf>
    <xf numFmtId="0" fontId="20" fillId="6" borderId="0" xfId="0" applyFont="1" applyFill="1" applyAlignment="1">
      <alignment horizontal="center" wrapText="1"/>
    </xf>
    <xf numFmtId="0" fontId="38" fillId="0" borderId="3" xfId="0" applyFont="1" applyBorder="1" applyAlignment="1">
      <alignment horizontal="center" wrapText="1"/>
    </xf>
    <xf numFmtId="0" fontId="28" fillId="0" borderId="5" xfId="0" applyFont="1" applyBorder="1" applyAlignment="1">
      <alignment horizontal="left" wrapText="1"/>
    </xf>
    <xf numFmtId="0" fontId="28" fillId="0" borderId="3" xfId="0" applyFont="1" applyBorder="1" applyAlignment="1">
      <alignment horizontal="left" wrapText="1"/>
    </xf>
    <xf numFmtId="0" fontId="35" fillId="0" borderId="0" xfId="0" applyFont="1" applyAlignment="1">
      <alignment horizontal="center" vertical="center" wrapText="1"/>
    </xf>
    <xf numFmtId="0" fontId="38" fillId="0" borderId="5" xfId="0" applyFont="1" applyBorder="1" applyAlignment="1">
      <alignment horizontal="center" wrapText="1"/>
    </xf>
    <xf numFmtId="0" fontId="77" fillId="0" borderId="0" xfId="0" applyFont="1" applyAlignment="1">
      <alignment horizontal="center"/>
    </xf>
    <xf numFmtId="0" fontId="38" fillId="0" borderId="0" xfId="0" applyFont="1" applyAlignment="1">
      <alignment wrapText="1"/>
    </xf>
    <xf numFmtId="0" fontId="22" fillId="6" borderId="0" xfId="0" applyFont="1" applyFill="1" applyAlignment="1">
      <alignment horizontal="left"/>
    </xf>
    <xf numFmtId="3" fontId="27" fillId="0" borderId="0" xfId="0" applyNumberFormat="1" applyFont="1" applyBorder="1" applyAlignment="1">
      <alignment horizontal="right"/>
    </xf>
    <xf numFmtId="9" fontId="27" fillId="0" borderId="2" xfId="0" applyNumberFormat="1" applyFont="1" applyBorder="1" applyAlignment="1">
      <alignment horizontal="right"/>
    </xf>
    <xf numFmtId="0" fontId="18" fillId="0" borderId="20" xfId="0" applyFont="1" applyBorder="1" applyAlignment="1">
      <alignment wrapText="1"/>
    </xf>
    <xf numFmtId="0" fontId="29" fillId="0" borderId="20" xfId="0" applyFont="1" applyBorder="1"/>
    <xf numFmtId="174" fontId="18" fillId="0" borderId="20" xfId="0" applyNumberFormat="1" applyFont="1" applyBorder="1"/>
    <xf numFmtId="0" fontId="29" fillId="0" borderId="20" xfId="0" applyFont="1" applyBorder="1" applyAlignment="1">
      <alignment horizontal="center"/>
    </xf>
    <xf numFmtId="170" fontId="18" fillId="0" borderId="0" xfId="0" applyNumberFormat="1" applyFont="1" applyAlignment="1">
      <alignment horizontal="right"/>
    </xf>
    <xf numFmtId="0" fontId="25" fillId="13" borderId="14" xfId="0" applyFont="1" applyFill="1" applyBorder="1" applyAlignment="1">
      <alignment horizontal="center" wrapText="1"/>
    </xf>
    <xf numFmtId="0" fontId="25" fillId="13" borderId="0" xfId="0" applyFont="1" applyFill="1" applyBorder="1" applyAlignment="1">
      <alignment horizontal="center" wrapText="1"/>
    </xf>
    <xf numFmtId="0" fontId="28" fillId="13" borderId="21" xfId="0" applyFont="1" applyFill="1" applyBorder="1"/>
    <xf numFmtId="0" fontId="18" fillId="0" borderId="21" xfId="0" applyFont="1" applyBorder="1" applyAlignment="1">
      <alignment horizontal="right"/>
    </xf>
    <xf numFmtId="0" fontId="79" fillId="13" borderId="19" xfId="0" applyFont="1" applyFill="1" applyBorder="1" applyAlignment="1">
      <alignment horizontal="center" wrapText="1"/>
    </xf>
    <xf numFmtId="0" fontId="80" fillId="0" borderId="19" xfId="0" applyFont="1" applyBorder="1" applyAlignment="1">
      <alignment horizontal="center" wrapText="1"/>
    </xf>
    <xf numFmtId="0" fontId="75" fillId="3" borderId="19" xfId="0" applyFont="1" applyFill="1" applyBorder="1" applyAlignment="1">
      <alignment horizontal="center" wrapText="1"/>
    </xf>
    <xf numFmtId="0" fontId="75" fillId="3" borderId="19" xfId="0" applyFont="1" applyFill="1" applyBorder="1" applyAlignment="1">
      <alignment horizontal="center"/>
    </xf>
    <xf numFmtId="3" fontId="27" fillId="0" borderId="6" xfId="0" applyNumberFormat="1" applyFont="1" applyBorder="1" applyAlignment="1">
      <alignment horizontal="right"/>
    </xf>
    <xf numFmtId="174" fontId="27" fillId="0" borderId="6" xfId="0" applyNumberFormat="1" applyFont="1" applyBorder="1" applyAlignment="1">
      <alignment horizontal="right"/>
    </xf>
    <xf numFmtId="0" fontId="28" fillId="13" borderId="6" xfId="0" applyFont="1" applyFill="1" applyBorder="1"/>
    <xf numFmtId="3" fontId="23" fillId="0" borderId="6" xfId="0" applyNumberFormat="1" applyFont="1" applyBorder="1" applyAlignment="1">
      <alignment horizontal="right"/>
    </xf>
    <xf numFmtId="3" fontId="18" fillId="0" borderId="6" xfId="0" applyNumberFormat="1" applyFont="1" applyBorder="1" applyAlignment="1">
      <alignment horizontal="right"/>
    </xf>
    <xf numFmtId="0" fontId="30" fillId="0" borderId="19" xfId="0" applyFont="1" applyBorder="1" applyAlignment="1">
      <alignment horizontal="center"/>
    </xf>
    <xf numFmtId="0" fontId="30" fillId="0" borderId="21" xfId="0" applyFont="1" applyBorder="1" applyAlignment="1">
      <alignment horizontal="center"/>
    </xf>
    <xf numFmtId="0" fontId="30" fillId="0" borderId="22" xfId="0" applyFont="1" applyBorder="1" applyAlignment="1">
      <alignment horizontal="center"/>
    </xf>
    <xf numFmtId="0" fontId="30" fillId="0" borderId="23" xfId="0" applyFont="1" applyBorder="1" applyAlignment="1">
      <alignment horizontal="center"/>
    </xf>
    <xf numFmtId="169" fontId="15" fillId="0" borderId="0" xfId="0" applyNumberFormat="1" applyFont="1"/>
    <xf numFmtId="169" fontId="18" fillId="0" borderId="2" xfId="0" applyNumberFormat="1" applyFont="1" applyBorder="1"/>
    <xf numFmtId="169" fontId="28" fillId="0" borderId="2" xfId="0" applyNumberFormat="1" applyFont="1" applyBorder="1"/>
    <xf numFmtId="169" fontId="27" fillId="0" borderId="6" xfId="0" applyNumberFormat="1" applyFont="1" applyBorder="1" applyAlignment="1">
      <alignment horizontal="right"/>
    </xf>
    <xf numFmtId="0" fontId="37" fillId="3" borderId="3" xfId="0" applyFont="1" applyFill="1" applyBorder="1" applyAlignment="1">
      <alignment wrapText="1"/>
    </xf>
    <xf numFmtId="0" fontId="28" fillId="3" borderId="3" xfId="0" applyFont="1" applyFill="1" applyBorder="1" applyAlignment="1">
      <alignment vertical="center" wrapText="1"/>
    </xf>
    <xf numFmtId="0" fontId="18" fillId="3" borderId="3" xfId="0" applyFont="1" applyFill="1" applyBorder="1" applyAlignment="1">
      <alignment vertical="center" wrapText="1"/>
    </xf>
    <xf numFmtId="3" fontId="23" fillId="3" borderId="3" xfId="0" applyNumberFormat="1" applyFont="1" applyFill="1" applyBorder="1" applyAlignment="1">
      <alignment vertical="center"/>
    </xf>
    <xf numFmtId="0" fontId="27" fillId="3" borderId="3" xfId="0" applyFont="1" applyFill="1" applyBorder="1" applyAlignment="1">
      <alignment vertical="center"/>
    </xf>
    <xf numFmtId="0" fontId="27" fillId="3" borderId="3" xfId="0" applyFont="1" applyFill="1" applyBorder="1" applyAlignment="1">
      <alignment vertical="center" wrapText="1"/>
    </xf>
    <xf numFmtId="3" fontId="18" fillId="3" borderId="3" xfId="0" applyNumberFormat="1" applyFont="1" applyFill="1" applyBorder="1" applyAlignment="1">
      <alignment vertical="center"/>
    </xf>
    <xf numFmtId="3" fontId="23" fillId="3" borderId="3" xfId="0" applyNumberFormat="1" applyFont="1" applyFill="1" applyBorder="1" applyAlignment="1">
      <alignment vertical="center" wrapText="1"/>
    </xf>
    <xf numFmtId="171" fontId="27" fillId="3" borderId="3" xfId="0" applyNumberFormat="1" applyFont="1" applyFill="1" applyBorder="1" applyAlignment="1">
      <alignment vertical="center" wrapText="1"/>
    </xf>
    <xf numFmtId="0" fontId="34" fillId="6" borderId="0" xfId="0" applyFont="1" applyFill="1" applyAlignment="1">
      <alignment horizontal="center" vertical="center" indent="1"/>
    </xf>
    <xf numFmtId="0" fontId="1" fillId="0" borderId="0" xfId="0" applyFont="1"/>
    <xf numFmtId="0" fontId="1" fillId="3" borderId="0" xfId="0" applyFont="1" applyFill="1"/>
    <xf numFmtId="174" fontId="1" fillId="0" borderId="0" xfId="0" applyNumberFormat="1" applyFont="1"/>
  </cellXfs>
  <cellStyles count="2">
    <cellStyle name="Hyperlink" xfId="1" builtinId="8"/>
    <cellStyle name="Normal" xfId="0" builtinId="0"/>
  </cellStyles>
  <dxfs count="0"/>
  <tableStyles count="0" defaultTableStyle="TableStyleMedium2" defaultPivotStyle="PivotStyleMedium9"/>
  <colors>
    <mruColors>
      <color rgb="FF0000FF"/>
      <color rgb="FFE2EFDA"/>
      <color rgb="FFF2F2F2"/>
      <color rgb="FFD3E2F0"/>
      <color rgb="FF142538"/>
      <color rgb="FF22354A"/>
      <color rgb="FF008000"/>
      <color rgb="FFBDD7EE"/>
      <color rgb="FF1B3A5C"/>
      <color rgb="FFF5F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etern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6262-B084-43F9-9CA8-FAFBDCA4A3FE}">
  <sheetPr>
    <tabColor rgb="FF1A1A1A"/>
  </sheetPr>
  <dimension ref="B2:P82"/>
  <sheetViews>
    <sheetView showGridLines="0" topLeftCell="A66" workbookViewId="0">
      <selection activeCell="D54" sqref="D54"/>
    </sheetView>
  </sheetViews>
  <sheetFormatPr defaultRowHeight="15"/>
  <cols>
    <col min="1" max="1" width="2.42578125" customWidth="1"/>
    <col min="2" max="2" width="11" style="120" customWidth="1"/>
    <col min="3" max="3" width="12.42578125" style="120" customWidth="1"/>
    <col min="4" max="10" width="14.7109375" style="120" customWidth="1"/>
    <col min="11" max="11" width="17.42578125" style="120" customWidth="1"/>
    <col min="12" max="12" width="14.7109375" style="120" customWidth="1"/>
    <col min="13" max="13" width="9.140625" style="120"/>
  </cols>
  <sheetData>
    <row r="2" spans="2:13">
      <c r="B2" s="683" t="s">
        <v>0</v>
      </c>
      <c r="C2" s="683"/>
      <c r="D2" s="683"/>
      <c r="E2" s="683"/>
      <c r="F2" s="683"/>
      <c r="G2" s="683"/>
      <c r="H2" s="683"/>
      <c r="I2" s="683"/>
      <c r="J2" s="683"/>
      <c r="K2" s="683"/>
      <c r="L2" s="683"/>
      <c r="M2" s="683"/>
    </row>
    <row r="3" spans="2:13">
      <c r="B3" s="683"/>
      <c r="C3" s="683"/>
      <c r="D3" s="683"/>
      <c r="E3" s="683"/>
      <c r="F3" s="683"/>
      <c r="G3" s="683"/>
      <c r="H3" s="683"/>
      <c r="I3" s="683"/>
      <c r="J3" s="683"/>
      <c r="K3" s="683"/>
      <c r="L3" s="683"/>
      <c r="M3" s="683"/>
    </row>
    <row r="4" spans="2:13">
      <c r="B4" s="683"/>
      <c r="C4" s="683"/>
      <c r="D4" s="683"/>
      <c r="E4" s="683"/>
      <c r="F4" s="683"/>
      <c r="G4" s="683"/>
      <c r="H4" s="683"/>
      <c r="I4" s="683"/>
      <c r="J4" s="683"/>
      <c r="K4" s="683"/>
      <c r="L4" s="683"/>
      <c r="M4" s="683"/>
    </row>
    <row r="5" spans="2:13">
      <c r="B5" s="683"/>
      <c r="C5" s="683"/>
      <c r="D5" s="683"/>
      <c r="E5" s="683"/>
      <c r="F5" s="683"/>
      <c r="G5" s="683"/>
      <c r="H5" s="683"/>
      <c r="I5" s="683"/>
      <c r="J5" s="683"/>
      <c r="K5" s="683"/>
      <c r="L5" s="683"/>
      <c r="M5" s="683"/>
    </row>
    <row r="6" spans="2:13">
      <c r="B6" s="683"/>
      <c r="C6" s="683"/>
      <c r="D6" s="683"/>
      <c r="E6" s="683"/>
      <c r="F6" s="683"/>
      <c r="G6" s="683"/>
      <c r="H6" s="683"/>
      <c r="I6" s="683"/>
      <c r="J6" s="683"/>
      <c r="K6" s="683"/>
      <c r="L6" s="683"/>
      <c r="M6" s="683"/>
    </row>
    <row r="7" spans="2:13" ht="9.75" customHeight="1">
      <c r="B7" s="497"/>
      <c r="C7" s="497"/>
      <c r="D7" s="497"/>
      <c r="E7" s="497"/>
      <c r="F7" s="497"/>
      <c r="G7" s="497"/>
      <c r="H7" s="497"/>
      <c r="I7" s="497"/>
      <c r="J7" s="497"/>
      <c r="K7" s="497"/>
      <c r="L7" s="497"/>
      <c r="M7" s="497"/>
    </row>
    <row r="9" spans="2:13">
      <c r="B9" s="687" t="s">
        <v>1</v>
      </c>
      <c r="C9" s="687"/>
      <c r="D9" s="687"/>
      <c r="E9" s="687"/>
      <c r="F9" s="687"/>
      <c r="G9" s="687"/>
      <c r="H9" s="687"/>
      <c r="I9" s="687"/>
      <c r="J9" s="687"/>
      <c r="K9" s="687"/>
      <c r="L9" s="687"/>
      <c r="M9" s="687"/>
    </row>
    <row r="10" spans="2:13">
      <c r="B10" s="687"/>
      <c r="C10" s="687"/>
      <c r="D10" s="687"/>
      <c r="E10" s="687"/>
      <c r="F10" s="687"/>
      <c r="G10" s="687"/>
      <c r="H10" s="687"/>
      <c r="I10" s="687"/>
      <c r="J10" s="687"/>
      <c r="K10" s="687"/>
      <c r="L10" s="687"/>
      <c r="M10" s="687"/>
    </row>
    <row r="12" spans="2:13">
      <c r="B12" s="688" t="s">
        <v>2</v>
      </c>
      <c r="C12" s="688"/>
      <c r="D12" s="688"/>
      <c r="E12" s="688"/>
      <c r="F12" s="688"/>
      <c r="G12" s="688"/>
      <c r="H12" s="688"/>
      <c r="I12" s="688"/>
      <c r="J12" s="688"/>
      <c r="K12" s="688"/>
      <c r="L12" s="688"/>
      <c r="M12" s="688"/>
    </row>
    <row r="13" spans="2:13">
      <c r="B13" s="689" t="s">
        <v>3</v>
      </c>
      <c r="C13" s="689"/>
      <c r="D13" s="689"/>
      <c r="E13" s="689"/>
      <c r="F13" s="689"/>
      <c r="G13" s="689"/>
      <c r="H13" s="689"/>
      <c r="I13" s="689"/>
      <c r="J13" s="689"/>
      <c r="K13" s="689"/>
      <c r="L13" s="689"/>
      <c r="M13" s="689"/>
    </row>
    <row r="15" spans="2:13">
      <c r="B15" s="685" t="s">
        <v>4</v>
      </c>
      <c r="C15" s="686"/>
      <c r="D15" s="686"/>
      <c r="E15" s="686"/>
      <c r="F15" s="686"/>
      <c r="G15" s="686"/>
      <c r="H15" s="686"/>
      <c r="I15" s="686"/>
      <c r="J15" s="686"/>
      <c r="K15" s="686"/>
      <c r="L15" s="686"/>
      <c r="M15" s="686"/>
    </row>
    <row r="17" spans="2:13">
      <c r="B17" s="684" t="s">
        <v>5</v>
      </c>
      <c r="C17" s="684"/>
      <c r="D17" s="684"/>
      <c r="E17" s="684"/>
      <c r="F17" s="684"/>
      <c r="G17" s="684"/>
      <c r="H17" s="684"/>
      <c r="I17" s="684"/>
      <c r="J17" s="684"/>
      <c r="K17" s="684"/>
      <c r="L17" s="684"/>
      <c r="M17" s="684"/>
    </row>
    <row r="18" spans="2:13">
      <c r="B18" s="684"/>
      <c r="C18" s="684"/>
      <c r="D18" s="684"/>
      <c r="E18" s="684"/>
      <c r="F18" s="684"/>
      <c r="G18" s="684"/>
      <c r="H18" s="684"/>
      <c r="I18" s="684"/>
      <c r="J18" s="684"/>
      <c r="K18" s="684"/>
      <c r="L18" s="684"/>
      <c r="M18" s="684"/>
    </row>
    <row r="19" spans="2:13">
      <c r="B19" s="684"/>
      <c r="C19" s="684"/>
      <c r="D19" s="684"/>
      <c r="E19" s="684"/>
      <c r="F19" s="684"/>
      <c r="G19" s="684"/>
      <c r="H19" s="684"/>
      <c r="I19" s="684"/>
      <c r="J19" s="684"/>
      <c r="K19" s="684"/>
      <c r="L19" s="684"/>
      <c r="M19" s="684"/>
    </row>
    <row r="20" spans="2:13">
      <c r="G20" s="498"/>
    </row>
    <row r="21" spans="2:13">
      <c r="C21" s="690" t="s">
        <v>6</v>
      </c>
      <c r="D21" s="690"/>
      <c r="E21" s="690"/>
      <c r="F21" s="690"/>
      <c r="G21" s="499"/>
      <c r="H21" s="657" t="s">
        <v>7</v>
      </c>
      <c r="I21" s="657"/>
      <c r="J21" s="657"/>
      <c r="K21" s="657"/>
      <c r="L21" s="499"/>
      <c r="M21" s="500"/>
    </row>
    <row r="22" spans="2:13">
      <c r="C22" s="659" t="s">
        <v>8</v>
      </c>
      <c r="D22" s="659"/>
      <c r="E22" s="662" t="s">
        <v>9</v>
      </c>
      <c r="F22" s="662"/>
      <c r="G22" s="501"/>
      <c r="H22" s="658" t="s">
        <v>10</v>
      </c>
      <c r="I22" s="658"/>
      <c r="J22" s="658"/>
      <c r="K22" s="658"/>
      <c r="L22" s="501"/>
      <c r="M22" s="502"/>
    </row>
    <row r="23" spans="2:13">
      <c r="C23" s="660" t="s">
        <v>11</v>
      </c>
      <c r="D23" s="661"/>
      <c r="E23" s="660" t="s">
        <v>12</v>
      </c>
      <c r="F23" s="661"/>
      <c r="G23" s="503"/>
      <c r="H23" s="691" t="s">
        <v>13</v>
      </c>
      <c r="I23" s="691"/>
      <c r="J23" s="676" t="s">
        <v>14</v>
      </c>
      <c r="K23" s="676"/>
      <c r="L23" s="498"/>
    </row>
    <row r="24" spans="2:13">
      <c r="C24" s="681" t="s">
        <v>15</v>
      </c>
      <c r="D24" s="682"/>
      <c r="E24" s="681" t="s">
        <v>16</v>
      </c>
      <c r="F24" s="682"/>
      <c r="G24" s="430"/>
      <c r="H24" s="679" t="s">
        <v>17</v>
      </c>
      <c r="I24" s="679"/>
      <c r="J24" s="679" t="s">
        <v>18</v>
      </c>
      <c r="K24" s="679"/>
      <c r="L24" s="498"/>
    </row>
    <row r="25" spans="2:13">
      <c r="C25" s="663" t="s">
        <v>19</v>
      </c>
      <c r="D25" s="664"/>
      <c r="E25" s="663" t="s">
        <v>20</v>
      </c>
      <c r="F25" s="664"/>
      <c r="G25" s="504"/>
      <c r="H25" s="692" t="s">
        <v>21</v>
      </c>
      <c r="I25" s="692"/>
      <c r="J25" s="676" t="s">
        <v>22</v>
      </c>
      <c r="K25" s="676"/>
      <c r="L25" s="498"/>
    </row>
    <row r="26" spans="2:13">
      <c r="C26" s="681" t="s">
        <v>23</v>
      </c>
      <c r="D26" s="682"/>
      <c r="E26" s="681" t="s">
        <v>24</v>
      </c>
      <c r="F26" s="682"/>
      <c r="G26" s="622"/>
      <c r="H26" s="693" t="s">
        <v>25</v>
      </c>
      <c r="I26" s="680"/>
      <c r="J26" s="680" t="s">
        <v>26</v>
      </c>
      <c r="K26" s="680"/>
    </row>
    <row r="27" spans="2:13">
      <c r="C27" s="663" t="s">
        <v>27</v>
      </c>
      <c r="D27" s="664"/>
      <c r="E27" s="663" t="s">
        <v>28</v>
      </c>
      <c r="F27" s="664"/>
      <c r="G27" s="430"/>
      <c r="H27" s="692" t="s">
        <v>29</v>
      </c>
      <c r="I27" s="692"/>
      <c r="J27" s="676" t="s">
        <v>30</v>
      </c>
      <c r="K27" s="676"/>
    </row>
    <row r="28" spans="2:13">
      <c r="C28" s="681" t="s">
        <v>31</v>
      </c>
      <c r="D28" s="682"/>
      <c r="E28" s="698">
        <v>44400</v>
      </c>
      <c r="F28" s="699"/>
      <c r="G28" s="430"/>
      <c r="H28" s="702" t="s">
        <v>32</v>
      </c>
      <c r="I28" s="702"/>
      <c r="J28" s="701">
        <v>0.63</v>
      </c>
      <c r="K28" s="702"/>
    </row>
    <row r="29" spans="2:13">
      <c r="C29" s="663" t="s">
        <v>33</v>
      </c>
      <c r="D29" s="664"/>
      <c r="E29" s="663" t="s">
        <v>34</v>
      </c>
      <c r="F29" s="664"/>
      <c r="G29" s="144"/>
      <c r="H29" s="676" t="s">
        <v>35</v>
      </c>
      <c r="I29" s="676"/>
      <c r="J29" s="676"/>
      <c r="K29" s="676"/>
      <c r="L29" s="144"/>
      <c r="M29" s="144"/>
    </row>
    <row r="30" spans="2:13">
      <c r="C30" s="681" t="s">
        <v>36</v>
      </c>
      <c r="D30" s="682"/>
      <c r="E30" s="681" t="s">
        <v>37</v>
      </c>
      <c r="F30" s="682"/>
      <c r="G30" s="505"/>
      <c r="H30" s="680" t="s">
        <v>38</v>
      </c>
      <c r="I30" s="680"/>
      <c r="J30" s="680"/>
      <c r="K30" s="680"/>
      <c r="L30" s="505"/>
      <c r="M30" s="505"/>
    </row>
    <row r="31" spans="2:13">
      <c r="C31" s="663" t="s">
        <v>39</v>
      </c>
      <c r="D31" s="664"/>
      <c r="E31" s="704" t="s">
        <v>40</v>
      </c>
      <c r="F31" s="705"/>
      <c r="G31" s="505"/>
      <c r="H31" s="656" t="s">
        <v>41</v>
      </c>
      <c r="I31" s="656"/>
      <c r="J31" s="656"/>
      <c r="K31" s="656"/>
      <c r="L31" s="505"/>
      <c r="M31" s="505"/>
    </row>
    <row r="32" spans="2:13">
      <c r="C32" s="681" t="s">
        <v>42</v>
      </c>
      <c r="D32" s="682"/>
      <c r="E32" s="681" t="s">
        <v>43</v>
      </c>
      <c r="F32" s="682"/>
      <c r="G32" s="505"/>
      <c r="H32" s="680" t="s">
        <v>44</v>
      </c>
      <c r="I32" s="680"/>
      <c r="J32" s="680"/>
      <c r="K32" s="680"/>
      <c r="L32" s="505"/>
      <c r="M32" s="505"/>
    </row>
    <row r="34" spans="2:13" ht="15.75">
      <c r="B34" s="700" t="s">
        <v>45</v>
      </c>
      <c r="C34" s="669"/>
      <c r="D34" s="669"/>
      <c r="E34" s="669"/>
      <c r="F34" s="669"/>
      <c r="G34" s="669"/>
      <c r="H34" s="669"/>
      <c r="I34" s="669"/>
      <c r="J34" s="669"/>
      <c r="K34" s="669"/>
      <c r="L34" s="669"/>
      <c r="M34" s="669"/>
    </row>
    <row r="35" spans="2:13">
      <c r="B35" s="504"/>
      <c r="C35" s="504"/>
      <c r="D35" s="461"/>
      <c r="E35" s="461"/>
      <c r="F35" s="461"/>
      <c r="G35" s="461"/>
      <c r="H35" s="461"/>
      <c r="I35" s="461"/>
      <c r="J35" s="461"/>
      <c r="K35" s="461"/>
      <c r="L35" s="461"/>
    </row>
    <row r="36" spans="2:13">
      <c r="C36" s="703" t="s">
        <v>46</v>
      </c>
      <c r="D36" s="703"/>
      <c r="E36" s="506" t="s">
        <v>47</v>
      </c>
      <c r="F36" s="506" t="s">
        <v>48</v>
      </c>
      <c r="G36" s="506" t="s">
        <v>49</v>
      </c>
      <c r="H36" s="506" t="s">
        <v>50</v>
      </c>
      <c r="I36" s="506" t="s">
        <v>51</v>
      </c>
      <c r="J36" s="506" t="s">
        <v>52</v>
      </c>
      <c r="K36" s="506" t="s">
        <v>53</v>
      </c>
      <c r="L36" s="506" t="s">
        <v>54</v>
      </c>
    </row>
    <row r="37" spans="2:13">
      <c r="C37" s="694" t="s">
        <v>55</v>
      </c>
      <c r="D37" s="694"/>
      <c r="E37" s="507">
        <f>'Historical Financials'!C12</f>
        <v>4193</v>
      </c>
      <c r="F37" s="507">
        <f>'Historical Financials'!D12</f>
        <v>7079</v>
      </c>
      <c r="G37" s="507">
        <f>'Historical Financials'!E12</f>
        <v>12114</v>
      </c>
      <c r="H37" s="507">
        <f>'Historical Financials'!F12</f>
        <v>20243</v>
      </c>
      <c r="I37" s="507">
        <f>'3-Statement'!G7</f>
        <v>28641.421700000003</v>
      </c>
      <c r="J37" s="507">
        <f>'3-Statement'!H7</f>
        <v>40122.272420000001</v>
      </c>
      <c r="K37" s="507">
        <f>'3-Statement'!I7</f>
        <v>53093.729126500009</v>
      </c>
      <c r="L37" s="507">
        <f>'3-Statement'!J7</f>
        <v>65159.790804879995</v>
      </c>
    </row>
    <row r="38" spans="2:13">
      <c r="C38" s="710" t="s">
        <v>56</v>
      </c>
      <c r="D38" s="710"/>
      <c r="E38" s="508" t="s">
        <v>57</v>
      </c>
      <c r="F38" s="508">
        <f>F37/E37-1</f>
        <v>0.68829000715478172</v>
      </c>
      <c r="G38" s="508">
        <f t="shared" ref="G38:K38" si="0">G37/F37-1</f>
        <v>0.71125865235202723</v>
      </c>
      <c r="H38" s="508">
        <f t="shared" si="0"/>
        <v>0.67104176985306263</v>
      </c>
      <c r="I38" s="508">
        <f t="shared" si="0"/>
        <v>0.41488028948278433</v>
      </c>
      <c r="J38" s="508">
        <f t="shared" si="0"/>
        <v>0.40084779450735142</v>
      </c>
      <c r="K38" s="508">
        <f t="shared" si="0"/>
        <v>0.32329815646319293</v>
      </c>
      <c r="L38" s="508">
        <f>L37/K37-1</f>
        <v>0.22725963832059404</v>
      </c>
    </row>
    <row r="39" spans="2:13">
      <c r="C39" s="694" t="s">
        <v>58</v>
      </c>
      <c r="D39" s="694"/>
      <c r="E39" s="509">
        <f>'3-Statement'!C27</f>
        <v>-973</v>
      </c>
      <c r="F39" s="509">
        <f>'3-Statement'!D27</f>
        <v>-765</v>
      </c>
      <c r="G39" s="509">
        <f>'3-Statement'!E27</f>
        <v>372</v>
      </c>
      <c r="H39" s="509">
        <f>'3-Statement'!F27</f>
        <v>1079</v>
      </c>
      <c r="I39" s="509">
        <f>'3-Statement'!G27</f>
        <v>2274.8514759999994</v>
      </c>
      <c r="J39" s="509">
        <f>'3-Statement'!H27</f>
        <v>3753.0490556</v>
      </c>
      <c r="K39" s="509">
        <f>'3-Statement'!I27</f>
        <v>6529.8646311192006</v>
      </c>
      <c r="L39" s="509">
        <f>'3-Statement'!J27</f>
        <v>9407.7513410675037</v>
      </c>
    </row>
    <row r="40" spans="2:13">
      <c r="C40" s="695" t="s">
        <v>59</v>
      </c>
      <c r="D40" s="695"/>
      <c r="E40" s="510">
        <f>'3-Statement'!C28</f>
        <v>-0.23205342237061768</v>
      </c>
      <c r="F40" s="510">
        <f>'3-Statement'!D28</f>
        <v>-0.10806611103263172</v>
      </c>
      <c r="G40" s="510">
        <f>'3-Statement'!E28</f>
        <v>3.0708271421495788E-2</v>
      </c>
      <c r="H40" s="510">
        <f>'3-Statement'!F28</f>
        <v>5.3302376130020257E-2</v>
      </c>
      <c r="I40" s="510">
        <f>'3-Statement'!G28</f>
        <v>7.9425228950837978E-2</v>
      </c>
      <c r="J40" s="510">
        <f>'3-Statement'!H28</f>
        <v>9.3540291444938056E-2</v>
      </c>
      <c r="K40" s="510">
        <f>'3-Statement'!I28</f>
        <v>0.12298749284611901</v>
      </c>
      <c r="L40" s="510">
        <f>'3-Statement'!J28</f>
        <v>0.14437970449044063</v>
      </c>
    </row>
    <row r="41" spans="2:13">
      <c r="C41" s="694" t="s">
        <v>60</v>
      </c>
      <c r="D41" s="694"/>
      <c r="E41" s="509">
        <f>'3-Statement'!C38</f>
        <v>-1519</v>
      </c>
      <c r="F41" s="509">
        <f>'3-Statement'!D38</f>
        <v>-1342</v>
      </c>
      <c r="G41" s="509">
        <f>'3-Statement'!E38</f>
        <v>-553</v>
      </c>
      <c r="H41" s="509">
        <f>'3-Statement'!F38</f>
        <v>216</v>
      </c>
      <c r="I41" s="509">
        <f>'3-Statement'!G38</f>
        <v>1144.8514759999994</v>
      </c>
      <c r="J41" s="509">
        <f>'3-Statement'!H38</f>
        <v>2373.0490556</v>
      </c>
      <c r="K41" s="509">
        <f>'3-Statement'!I38</f>
        <v>4939.8646311192006</v>
      </c>
      <c r="L41" s="509">
        <f>'3-Statement'!J38</f>
        <v>7667.7513410675037</v>
      </c>
    </row>
    <row r="42" spans="2:13">
      <c r="C42" s="696" t="s">
        <v>61</v>
      </c>
      <c r="D42" s="696"/>
      <c r="E42" s="511">
        <f>'3-Statement'!C45</f>
        <v>-1221</v>
      </c>
      <c r="F42" s="511">
        <f>'3-Statement'!D45</f>
        <v>-1015</v>
      </c>
      <c r="G42" s="511">
        <f>'3-Statement'!E45</f>
        <v>291</v>
      </c>
      <c r="H42" s="511">
        <f>'3-Statement'!F45</f>
        <v>697</v>
      </c>
      <c r="I42" s="511">
        <f>'3-Statement'!G45</f>
        <v>1960.8514759999994</v>
      </c>
      <c r="J42" s="511">
        <f>'3-Statement'!H45</f>
        <v>2956.0490556</v>
      </c>
      <c r="K42" s="511">
        <f>'3-Statement'!I45</f>
        <v>5357.8646311192006</v>
      </c>
      <c r="L42" s="511">
        <f>'3-Statement'!J45</f>
        <v>7990.7513410675037</v>
      </c>
    </row>
    <row r="43" spans="2:13">
      <c r="C43" s="706" t="s">
        <v>62</v>
      </c>
      <c r="D43" s="706"/>
      <c r="E43" s="512">
        <f>'3-Statement'!C53</f>
        <v>-1223</v>
      </c>
      <c r="F43" s="512">
        <f>'3-Statement'!D53</f>
        <v>-971</v>
      </c>
      <c r="G43" s="512">
        <f>'3-Statement'!E53</f>
        <v>351</v>
      </c>
      <c r="H43" s="512">
        <f>'3-Statement'!F53</f>
        <v>527</v>
      </c>
      <c r="I43" s="512">
        <f>'3-Statement'!G53</f>
        <v>1593.8514759999994</v>
      </c>
      <c r="J43" s="512">
        <f>'3-Statement'!H53</f>
        <v>2357.0490556</v>
      </c>
      <c r="K43" s="512">
        <f>'3-Statement'!I53</f>
        <v>4064.8646311192006</v>
      </c>
      <c r="L43" s="512">
        <f>'3-Statement'!J53</f>
        <v>6038.7513410675037</v>
      </c>
    </row>
    <row r="44" spans="2:13">
      <c r="C44" s="707" t="s">
        <v>63</v>
      </c>
      <c r="D44" s="707"/>
      <c r="E44" s="508">
        <f>'3-Statement'!C54</f>
        <v>-0.29167660386358218</v>
      </c>
      <c r="F44" s="508">
        <f>'3-Statement'!D54</f>
        <v>-0.13716626642181098</v>
      </c>
      <c r="G44" s="508">
        <f>'3-Statement'!E54</f>
        <v>2.8974739970282319E-2</v>
      </c>
      <c r="H44" s="508">
        <f>'3-Statement'!F54</f>
        <v>2.6033690658499236E-2</v>
      </c>
      <c r="I44" s="508">
        <f>'3-Statement'!G54</f>
        <v>5.5648476276580892E-2</v>
      </c>
      <c r="J44" s="508">
        <f>'3-Statement'!H54</f>
        <v>5.874664901644671E-2</v>
      </c>
      <c r="K44" s="508">
        <f>'3-Statement'!I54</f>
        <v>7.6560164411023743E-2</v>
      </c>
      <c r="L44" s="508">
        <f>'3-Statement'!J54</f>
        <v>9.2676039417475306E-2</v>
      </c>
    </row>
    <row r="45" spans="2:13">
      <c r="C45" s="694" t="s">
        <v>64</v>
      </c>
      <c r="D45" s="694"/>
      <c r="E45" s="513">
        <f>'3-Statement'!C55</f>
        <v>-1.6007853403141361</v>
      </c>
      <c r="F45" s="513">
        <f>'3-Statement'!D55</f>
        <v>-1.1614832535885167</v>
      </c>
      <c r="G45" s="513">
        <f>'3-Statement'!E55</f>
        <v>0.40437788018433179</v>
      </c>
      <c r="H45" s="513">
        <f>'3-Statement'!F55</f>
        <v>0.58103638368246968</v>
      </c>
      <c r="I45" s="513">
        <f>'3-Statement'!G55</f>
        <v>1.6955866765957439</v>
      </c>
      <c r="J45" s="513">
        <f>'3-Statement'!H55</f>
        <v>2.4552594329166668</v>
      </c>
      <c r="K45" s="513">
        <f>'3-Statement'!I55</f>
        <v>4.1690919293530264</v>
      </c>
      <c r="L45" s="513">
        <f>'3-Statement'!J55</f>
        <v>6.1307120213883284</v>
      </c>
    </row>
    <row r="46" spans="2:13">
      <c r="C46" s="696" t="s">
        <v>65</v>
      </c>
      <c r="D46" s="696"/>
      <c r="E46" s="511">
        <f>'3-Statement'!C83</f>
        <v>17327</v>
      </c>
      <c r="F46" s="511">
        <f>'3-Statement'!D83</f>
        <v>21602</v>
      </c>
      <c r="G46" s="511">
        <f>'3-Statement'!E83</f>
        <v>23356</v>
      </c>
      <c r="H46" s="511">
        <f>'3-Statement'!F83</f>
        <v>35623</v>
      </c>
      <c r="I46" s="511">
        <f>'3-Statement'!G83</f>
        <v>38686.851475999996</v>
      </c>
      <c r="J46" s="511">
        <f>'3-Statement'!H83</f>
        <v>43937.900531599997</v>
      </c>
      <c r="K46" s="511">
        <f>'3-Statement'!I83</f>
        <v>50517.765162719195</v>
      </c>
      <c r="L46" s="511">
        <f>'3-Statement'!J83</f>
        <v>58514.516503786697</v>
      </c>
    </row>
    <row r="47" spans="2:13">
      <c r="C47" s="708" t="s">
        <v>66</v>
      </c>
      <c r="D47" s="708"/>
      <c r="E47" s="516">
        <f>'3-Statement'!C89</f>
        <v>16499</v>
      </c>
      <c r="F47" s="516">
        <f>'3-Statement'!D89</f>
        <v>19452</v>
      </c>
      <c r="G47" s="516">
        <f>'3-Statement'!E89</f>
        <v>20406</v>
      </c>
      <c r="H47" s="516">
        <f>'3-Statement'!F89</f>
        <v>30310</v>
      </c>
      <c r="I47" s="516">
        <f>'3-Statement'!G89</f>
        <v>32836.851475999996</v>
      </c>
      <c r="J47" s="516">
        <f>'3-Statement'!H89</f>
        <v>36160.900531599997</v>
      </c>
      <c r="K47" s="516">
        <f>'3-Statement'!I89</f>
        <v>41135.765162719195</v>
      </c>
      <c r="L47" s="516">
        <f>'3-Statement'!J89</f>
        <v>48034.516503786697</v>
      </c>
    </row>
    <row r="48" spans="2:13">
      <c r="C48" s="709" t="s">
        <v>67</v>
      </c>
      <c r="D48" s="709"/>
      <c r="E48" s="517">
        <f>'3-Statement'!C76</f>
        <v>392</v>
      </c>
      <c r="F48" s="517">
        <f>'3-Statement'!D76</f>
        <v>218</v>
      </c>
      <c r="G48" s="517">
        <f>'3-Statement'!E76</f>
        <v>309</v>
      </c>
      <c r="H48" s="517">
        <f>'3-Statement'!F76</f>
        <v>666</v>
      </c>
      <c r="I48" s="517">
        <f>'3-Statement'!G76</f>
        <v>28.851475999999366</v>
      </c>
      <c r="J48" s="517">
        <f>'3-Statement'!H76</f>
        <v>371.90053159999979</v>
      </c>
      <c r="K48" s="517">
        <f>'3-Statement'!I76</f>
        <v>1820.7651627192004</v>
      </c>
      <c r="L48" s="517">
        <f>'3-Statement'!J76</f>
        <v>5090.5165037867046</v>
      </c>
    </row>
    <row r="50" spans="2:13">
      <c r="B50" s="667" t="s">
        <v>68</v>
      </c>
      <c r="C50" s="667"/>
      <c r="D50" s="667"/>
      <c r="E50" s="667"/>
      <c r="F50" s="667"/>
      <c r="G50" s="667"/>
      <c r="H50" s="667"/>
      <c r="I50" s="667"/>
      <c r="J50" s="667"/>
      <c r="K50" s="667"/>
      <c r="L50" s="667"/>
      <c r="M50" s="667"/>
    </row>
    <row r="52" spans="2:13" ht="16.5" customHeight="1">
      <c r="B52" s="697" t="s">
        <v>69</v>
      </c>
      <c r="C52" s="697"/>
      <c r="D52" s="514" t="s">
        <v>70</v>
      </c>
      <c r="E52" s="715" t="s">
        <v>71</v>
      </c>
      <c r="F52" s="716"/>
      <c r="H52" s="718" t="s">
        <v>72</v>
      </c>
      <c r="I52" s="703"/>
      <c r="J52" s="703"/>
      <c r="K52" s="703"/>
      <c r="L52" s="703"/>
    </row>
    <row r="53" spans="2:13" ht="15" customHeight="1">
      <c r="B53" s="672" t="s">
        <v>73</v>
      </c>
      <c r="C53" s="670"/>
      <c r="D53" s="522" t="str">
        <f>"₹" &amp; ROUND('SOTP Valution'!D40,0)</f>
        <v>₹170</v>
      </c>
      <c r="E53" s="675" t="s">
        <v>74</v>
      </c>
      <c r="F53" s="676"/>
      <c r="H53" s="703"/>
      <c r="I53" s="703"/>
      <c r="J53" s="703"/>
      <c r="K53" s="703"/>
      <c r="L53" s="703"/>
    </row>
    <row r="54" spans="2:13">
      <c r="B54" s="673" t="s">
        <v>75</v>
      </c>
      <c r="C54" s="674"/>
      <c r="D54" s="521" t="str">
        <f>"₹" &amp; ROUND('SOTP Valution'!E40,0)</f>
        <v>₹229</v>
      </c>
      <c r="E54" s="677" t="s">
        <v>76</v>
      </c>
      <c r="F54" s="678"/>
      <c r="H54" s="703"/>
      <c r="I54" s="703"/>
      <c r="J54" s="703"/>
      <c r="K54" s="703"/>
      <c r="L54" s="703"/>
    </row>
    <row r="55" spans="2:13">
      <c r="B55" s="672" t="s">
        <v>77</v>
      </c>
      <c r="C55" s="670"/>
      <c r="D55" s="523" t="str">
        <f>"₹" &amp; ROUND('SOTP Valution'!C40,0)</f>
        <v>₹149</v>
      </c>
      <c r="E55" s="675" t="s">
        <v>78</v>
      </c>
      <c r="F55" s="676"/>
      <c r="H55" s="703"/>
      <c r="I55" s="703"/>
      <c r="J55" s="703"/>
      <c r="K55" s="703"/>
      <c r="L55" s="703"/>
    </row>
    <row r="56" spans="2:13">
      <c r="B56" s="673" t="s">
        <v>79</v>
      </c>
      <c r="C56" s="674"/>
      <c r="D56" s="526" t="s">
        <v>80</v>
      </c>
      <c r="E56" s="719" t="s">
        <v>81</v>
      </c>
      <c r="F56" s="720"/>
      <c r="H56" s="703"/>
      <c r="I56" s="703"/>
      <c r="J56" s="703"/>
      <c r="K56" s="703"/>
      <c r="L56" s="703"/>
    </row>
    <row r="57" spans="2:13">
      <c r="B57" s="672" t="s">
        <v>82</v>
      </c>
      <c r="C57" s="672"/>
      <c r="D57" s="524" t="s">
        <v>83</v>
      </c>
      <c r="E57" s="676" t="s">
        <v>84</v>
      </c>
      <c r="F57" s="676"/>
      <c r="H57" s="703"/>
      <c r="I57" s="703"/>
      <c r="J57" s="703"/>
      <c r="K57" s="703"/>
      <c r="L57" s="703"/>
    </row>
    <row r="58" spans="2:13">
      <c r="B58" s="673" t="s">
        <v>85</v>
      </c>
      <c r="C58" s="673"/>
      <c r="D58" s="526" t="s">
        <v>86</v>
      </c>
      <c r="E58" s="678" t="s">
        <v>87</v>
      </c>
      <c r="F58" s="678"/>
      <c r="H58" s="703"/>
      <c r="I58" s="703"/>
      <c r="J58" s="703"/>
      <c r="K58" s="703"/>
      <c r="L58" s="703"/>
    </row>
    <row r="59" spans="2:13">
      <c r="B59" s="672" t="s">
        <v>88</v>
      </c>
      <c r="C59" s="672"/>
      <c r="D59" s="525" t="str">
        <f>"₹" &amp; ROUND('SOTP Valution'!D32,0)</f>
        <v>₹271</v>
      </c>
      <c r="E59" s="676" t="s">
        <v>89</v>
      </c>
      <c r="F59" s="676"/>
      <c r="H59" s="703"/>
      <c r="I59" s="703"/>
      <c r="J59" s="703"/>
      <c r="K59" s="703"/>
      <c r="L59" s="703"/>
    </row>
    <row r="60" spans="2:13">
      <c r="B60" s="673" t="s">
        <v>90</v>
      </c>
      <c r="C60" s="673"/>
      <c r="D60" s="616" t="str">
        <f>"₹" &amp; ROUND('SOTP Valution'!D43,0)</f>
        <v>₹211</v>
      </c>
      <c r="E60" s="678" t="s">
        <v>91</v>
      </c>
      <c r="F60" s="678"/>
      <c r="H60" s="703"/>
      <c r="I60" s="703"/>
      <c r="J60" s="703"/>
      <c r="K60" s="703"/>
      <c r="L60" s="703"/>
    </row>
    <row r="62" spans="2:13">
      <c r="B62" s="668" t="s">
        <v>92</v>
      </c>
      <c r="C62" s="669"/>
      <c r="D62" s="669"/>
      <c r="E62" s="669"/>
      <c r="F62" s="669"/>
      <c r="G62" s="669"/>
      <c r="H62" s="669"/>
      <c r="I62" s="669"/>
      <c r="J62" s="669"/>
      <c r="K62" s="669"/>
      <c r="L62" s="669"/>
      <c r="M62" s="669"/>
    </row>
    <row r="63" spans="2:13">
      <c r="B63" s="717" t="s">
        <v>93</v>
      </c>
      <c r="C63" s="717"/>
      <c r="D63" s="670" t="s">
        <v>94</v>
      </c>
      <c r="E63" s="671"/>
      <c r="F63" s="671"/>
      <c r="G63" s="671"/>
      <c r="H63" s="671"/>
      <c r="I63" s="671"/>
      <c r="J63" s="671"/>
      <c r="K63" s="671"/>
      <c r="L63" s="671"/>
      <c r="M63" s="527"/>
    </row>
    <row r="65" spans="2:16">
      <c r="B65" s="667" t="s">
        <v>95</v>
      </c>
      <c r="C65" s="667"/>
      <c r="D65" s="667"/>
      <c r="E65" s="667"/>
      <c r="F65" s="667"/>
      <c r="G65" s="667"/>
      <c r="H65" s="667"/>
      <c r="I65" s="667"/>
      <c r="J65" s="667"/>
      <c r="K65" s="667"/>
      <c r="L65" s="667"/>
      <c r="M65" s="667"/>
    </row>
    <row r="66" spans="2:16" s="1" customFormat="1">
      <c r="B66" s="515"/>
      <c r="C66" s="515"/>
      <c r="D66" s="515"/>
      <c r="E66" s="515"/>
      <c r="F66" s="515"/>
      <c r="G66" s="515"/>
      <c r="H66" s="515"/>
      <c r="I66" s="515"/>
      <c r="J66" s="515"/>
      <c r="K66" s="515"/>
      <c r="L66" s="515"/>
      <c r="M66" s="515"/>
    </row>
    <row r="67" spans="2:16">
      <c r="E67" s="713" t="s">
        <v>96</v>
      </c>
      <c r="F67" s="713"/>
      <c r="G67" s="697" t="s">
        <v>70</v>
      </c>
      <c r="H67" s="697"/>
      <c r="I67" s="713" t="s">
        <v>97</v>
      </c>
      <c r="J67" s="713"/>
      <c r="K67" s="619" t="s">
        <v>70</v>
      </c>
    </row>
    <row r="68" spans="2:16">
      <c r="E68" s="712" t="s">
        <v>98</v>
      </c>
      <c r="F68" s="712"/>
      <c r="G68" s="691" t="s">
        <v>99</v>
      </c>
      <c r="H68" s="691"/>
      <c r="I68" s="714" t="s">
        <v>100</v>
      </c>
      <c r="J68" s="714"/>
      <c r="K68" s="518">
        <f>Assumptions!F149</f>
        <v>0.13125000000000001</v>
      </c>
    </row>
    <row r="69" spans="2:16">
      <c r="E69" s="711" t="s">
        <v>101</v>
      </c>
      <c r="F69" s="711"/>
      <c r="G69" s="693" t="s">
        <v>102</v>
      </c>
      <c r="H69" s="693"/>
      <c r="I69" s="678" t="s">
        <v>103</v>
      </c>
      <c r="J69" s="678"/>
      <c r="K69" s="519">
        <f>Assumptions!F152</f>
        <v>4.4999999999999998E-2</v>
      </c>
    </row>
    <row r="70" spans="2:16">
      <c r="E70" s="712" t="s">
        <v>104</v>
      </c>
      <c r="F70" s="712"/>
      <c r="G70" s="691" t="s">
        <v>105</v>
      </c>
      <c r="H70" s="691"/>
      <c r="I70" s="714" t="s">
        <v>106</v>
      </c>
      <c r="J70" s="714"/>
      <c r="K70" s="518">
        <f>Assumptions!F145</f>
        <v>6.8000000000000005E-2</v>
      </c>
    </row>
    <row r="71" spans="2:16">
      <c r="E71" s="711" t="s">
        <v>107</v>
      </c>
      <c r="F71" s="711"/>
      <c r="G71" s="693" t="s">
        <v>108</v>
      </c>
      <c r="H71" s="693"/>
      <c r="I71" s="678" t="s">
        <v>109</v>
      </c>
      <c r="J71" s="678"/>
      <c r="K71" s="519">
        <f>Assumptions!F146</f>
        <v>5.5E-2</v>
      </c>
      <c r="O71" s="723"/>
      <c r="P71" s="723"/>
    </row>
    <row r="72" spans="2:16">
      <c r="E72" s="712" t="s">
        <v>110</v>
      </c>
      <c r="F72" s="712"/>
      <c r="G72" s="691" t="s">
        <v>111</v>
      </c>
      <c r="H72" s="691"/>
      <c r="I72" s="714" t="s">
        <v>112</v>
      </c>
      <c r="J72" s="714"/>
      <c r="K72" s="520">
        <f>Assumptions!F147</f>
        <v>0.95</v>
      </c>
    </row>
    <row r="73" spans="2:16">
      <c r="E73" s="711" t="s">
        <v>113</v>
      </c>
      <c r="F73" s="711"/>
      <c r="G73" s="724">
        <v>4500</v>
      </c>
      <c r="H73" s="724"/>
      <c r="I73" s="678" t="s">
        <v>114</v>
      </c>
      <c r="J73" s="678"/>
      <c r="K73" s="519">
        <f>Assumptions!H123</f>
        <v>0.25</v>
      </c>
    </row>
    <row r="74" spans="2:16">
      <c r="E74" s="712" t="s">
        <v>115</v>
      </c>
      <c r="F74" s="712"/>
      <c r="G74" s="722">
        <v>0.05</v>
      </c>
      <c r="H74" s="722"/>
      <c r="I74" s="714" t="s">
        <v>116</v>
      </c>
      <c r="J74" s="714"/>
      <c r="K74" s="618" t="str">
        <f>Assumptions!E158&amp;" Cr"</f>
        <v>940 Cr</v>
      </c>
      <c r="M74" s="74"/>
    </row>
    <row r="75" spans="2:16">
      <c r="E75" s="711" t="s">
        <v>117</v>
      </c>
      <c r="F75" s="711"/>
      <c r="G75" s="693" t="s">
        <v>118</v>
      </c>
      <c r="H75" s="693"/>
      <c r="I75" s="678" t="s">
        <v>119</v>
      </c>
      <c r="J75" s="678"/>
      <c r="K75" s="617" t="s">
        <v>120</v>
      </c>
    </row>
    <row r="76" spans="2:16">
      <c r="E76" s="712" t="s">
        <v>121</v>
      </c>
      <c r="F76" s="712"/>
      <c r="G76" s="722">
        <v>0.13</v>
      </c>
      <c r="H76" s="722"/>
      <c r="I76" s="714" t="s">
        <v>122</v>
      </c>
      <c r="J76" s="714"/>
      <c r="K76" s="618" t="s">
        <v>123</v>
      </c>
    </row>
    <row r="78" spans="2:16">
      <c r="B78" s="665" t="s">
        <v>124</v>
      </c>
      <c r="C78" s="666"/>
      <c r="D78" s="666"/>
      <c r="E78" s="666"/>
      <c r="F78" s="666"/>
      <c r="G78" s="666"/>
      <c r="H78" s="666"/>
      <c r="I78" s="666"/>
      <c r="J78" s="666"/>
      <c r="K78" s="666"/>
      <c r="L78" s="666"/>
      <c r="M78" s="666"/>
    </row>
    <row r="79" spans="2:16" ht="15" customHeight="1">
      <c r="B79" s="721" t="s">
        <v>125</v>
      </c>
      <c r="C79" s="721"/>
      <c r="D79" s="721"/>
      <c r="E79" s="721"/>
      <c r="F79" s="721"/>
      <c r="G79" s="721"/>
      <c r="H79" s="721"/>
      <c r="I79" s="721"/>
      <c r="J79" s="721"/>
      <c r="K79" s="721"/>
      <c r="L79" s="721"/>
      <c r="M79" s="721"/>
    </row>
    <row r="80" spans="2:16">
      <c r="B80" s="721"/>
      <c r="C80" s="721"/>
      <c r="D80" s="721"/>
      <c r="E80" s="721"/>
      <c r="F80" s="721"/>
      <c r="G80" s="721"/>
      <c r="H80" s="721"/>
      <c r="I80" s="721"/>
      <c r="J80" s="721"/>
      <c r="K80" s="721"/>
      <c r="L80" s="721"/>
      <c r="M80" s="721"/>
    </row>
    <row r="81" spans="2:13" ht="12.75" customHeight="1">
      <c r="B81" s="721"/>
      <c r="C81" s="721"/>
      <c r="D81" s="721"/>
      <c r="E81" s="721"/>
      <c r="F81" s="721"/>
      <c r="G81" s="721"/>
      <c r="H81" s="721"/>
      <c r="I81" s="721"/>
      <c r="J81" s="721"/>
      <c r="K81" s="721"/>
      <c r="L81" s="721"/>
      <c r="M81" s="721"/>
    </row>
    <row r="82" spans="2:13" s="28" customFormat="1" ht="11.25" customHeight="1">
      <c r="B82" s="615"/>
      <c r="C82" s="615"/>
      <c r="D82" s="615"/>
      <c r="E82" s="615"/>
      <c r="F82" s="615"/>
      <c r="G82" s="615"/>
      <c r="H82" s="615"/>
      <c r="I82" s="615"/>
      <c r="J82" s="615"/>
      <c r="K82" s="615"/>
      <c r="L82" s="615"/>
      <c r="M82" s="615"/>
    </row>
  </sheetData>
  <mergeCells count="118">
    <mergeCell ref="O71:P71"/>
    <mergeCell ref="I69:J69"/>
    <mergeCell ref="I68:J68"/>
    <mergeCell ref="I70:J70"/>
    <mergeCell ref="I71:J71"/>
    <mergeCell ref="I72:J72"/>
    <mergeCell ref="I73:J73"/>
    <mergeCell ref="G73:H73"/>
    <mergeCell ref="G72:H72"/>
    <mergeCell ref="G71:H71"/>
    <mergeCell ref="G70:H70"/>
    <mergeCell ref="G69:H69"/>
    <mergeCell ref="G68:H68"/>
    <mergeCell ref="E52:F52"/>
    <mergeCell ref="B63:C63"/>
    <mergeCell ref="H52:L60"/>
    <mergeCell ref="E55:F55"/>
    <mergeCell ref="E56:F56"/>
    <mergeCell ref="E57:F57"/>
    <mergeCell ref="E58:F58"/>
    <mergeCell ref="E59:F59"/>
    <mergeCell ref="B79:M81"/>
    <mergeCell ref="G67:H67"/>
    <mergeCell ref="G76:H76"/>
    <mergeCell ref="G75:H75"/>
    <mergeCell ref="G74:H74"/>
    <mergeCell ref="E76:F76"/>
    <mergeCell ref="E67:F67"/>
    <mergeCell ref="E68:F68"/>
    <mergeCell ref="E71:F71"/>
    <mergeCell ref="E72:F72"/>
    <mergeCell ref="E75:F75"/>
    <mergeCell ref="E69:F69"/>
    <mergeCell ref="E70:F70"/>
    <mergeCell ref="E73:F73"/>
    <mergeCell ref="E74:F74"/>
    <mergeCell ref="I67:J67"/>
    <mergeCell ref="I74:J74"/>
    <mergeCell ref="I75:J75"/>
    <mergeCell ref="I76:J76"/>
    <mergeCell ref="B53:C53"/>
    <mergeCell ref="B54:C54"/>
    <mergeCell ref="B65:M65"/>
    <mergeCell ref="E60:F60"/>
    <mergeCell ref="C43:D43"/>
    <mergeCell ref="C44:D44"/>
    <mergeCell ref="C45:D45"/>
    <mergeCell ref="C46:D46"/>
    <mergeCell ref="C47:D47"/>
    <mergeCell ref="C48:D48"/>
    <mergeCell ref="C37:D37"/>
    <mergeCell ref="C38:D38"/>
    <mergeCell ref="C32:D32"/>
    <mergeCell ref="E32:F32"/>
    <mergeCell ref="C39:D39"/>
    <mergeCell ref="C40:D40"/>
    <mergeCell ref="C41:D41"/>
    <mergeCell ref="C42:D42"/>
    <mergeCell ref="B52:C52"/>
    <mergeCell ref="C30:D30"/>
    <mergeCell ref="C31:D31"/>
    <mergeCell ref="E23:F23"/>
    <mergeCell ref="E24:F24"/>
    <mergeCell ref="E25:F25"/>
    <mergeCell ref="E26:F26"/>
    <mergeCell ref="E28:F28"/>
    <mergeCell ref="B34:M34"/>
    <mergeCell ref="J28:K28"/>
    <mergeCell ref="H32:K32"/>
    <mergeCell ref="C36:D36"/>
    <mergeCell ref="H30:K30"/>
    <mergeCell ref="C28:D28"/>
    <mergeCell ref="H28:I28"/>
    <mergeCell ref="H29:K29"/>
    <mergeCell ref="E29:F29"/>
    <mergeCell ref="E30:F30"/>
    <mergeCell ref="E31:F31"/>
    <mergeCell ref="C26:D26"/>
    <mergeCell ref="C27:D27"/>
    <mergeCell ref="B2:M6"/>
    <mergeCell ref="B17:M19"/>
    <mergeCell ref="B15:M15"/>
    <mergeCell ref="B9:M10"/>
    <mergeCell ref="B12:M12"/>
    <mergeCell ref="B13:M13"/>
    <mergeCell ref="J27:K27"/>
    <mergeCell ref="C21:F21"/>
    <mergeCell ref="H23:I23"/>
    <mergeCell ref="H24:I24"/>
    <mergeCell ref="H25:I25"/>
    <mergeCell ref="H26:I26"/>
    <mergeCell ref="H27:I27"/>
    <mergeCell ref="J25:K25"/>
    <mergeCell ref="E27:F27"/>
    <mergeCell ref="H31:K31"/>
    <mergeCell ref="H21:K21"/>
    <mergeCell ref="H22:K22"/>
    <mergeCell ref="C22:D22"/>
    <mergeCell ref="C23:D23"/>
    <mergeCell ref="E22:F22"/>
    <mergeCell ref="C29:D29"/>
    <mergeCell ref="B78:M78"/>
    <mergeCell ref="B50:M50"/>
    <mergeCell ref="B62:M62"/>
    <mergeCell ref="D63:L63"/>
    <mergeCell ref="B55:C55"/>
    <mergeCell ref="B56:C56"/>
    <mergeCell ref="B57:C57"/>
    <mergeCell ref="B58:C58"/>
    <mergeCell ref="B59:C59"/>
    <mergeCell ref="B60:C60"/>
    <mergeCell ref="E53:F53"/>
    <mergeCell ref="E54:F54"/>
    <mergeCell ref="J23:K23"/>
    <mergeCell ref="J24:K24"/>
    <mergeCell ref="J26:K26"/>
    <mergeCell ref="C24:D24"/>
    <mergeCell ref="C25:D25"/>
  </mergeCells>
  <hyperlinks>
    <hyperlink ref="E31" r:id="rId1" xr:uid="{98123EA8-EDF8-4A36-AD2C-BD6167F2B2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2:M220"/>
  <sheetViews>
    <sheetView showGridLines="0" workbookViewId="0">
      <pane xSplit="1" ySplit="3" topLeftCell="B205" activePane="bottomRight" state="frozen"/>
      <selection pane="bottomRight" activeCell="D100" sqref="D100"/>
      <selection pane="bottomLeft"/>
      <selection pane="topRight"/>
    </sheetView>
  </sheetViews>
  <sheetFormatPr defaultRowHeight="15"/>
  <cols>
    <col min="1" max="1" width="1.85546875" customWidth="1"/>
    <col min="2" max="2" width="38.85546875" style="120" customWidth="1"/>
    <col min="3" max="3" width="13.7109375" style="423" customWidth="1"/>
    <col min="4" max="6" width="11.7109375" style="423" customWidth="1"/>
  </cols>
  <sheetData>
    <row r="2" spans="1:7" ht="16.5">
      <c r="B2" s="725" t="s">
        <v>126</v>
      </c>
      <c r="C2" s="726"/>
      <c r="D2" s="726"/>
      <c r="E2" s="726"/>
      <c r="F2" s="726"/>
    </row>
    <row r="3" spans="1:7">
      <c r="B3" s="463" t="s">
        <v>127</v>
      </c>
      <c r="C3" s="464" t="s">
        <v>128</v>
      </c>
      <c r="D3" s="464" t="s">
        <v>129</v>
      </c>
      <c r="E3" s="464" t="s">
        <v>130</v>
      </c>
      <c r="F3" s="464" t="s">
        <v>131</v>
      </c>
    </row>
    <row r="4" spans="1:7" s="1" customFormat="1">
      <c r="B4" s="465"/>
      <c r="C4" s="412"/>
      <c r="D4" s="412"/>
      <c r="E4" s="412"/>
      <c r="F4" s="412"/>
    </row>
    <row r="5" spans="1:7">
      <c r="A5" t="s">
        <v>132</v>
      </c>
      <c r="B5" s="727" t="s">
        <v>133</v>
      </c>
      <c r="C5" s="727"/>
      <c r="D5" s="727"/>
      <c r="E5" s="727"/>
      <c r="F5" s="727"/>
    </row>
    <row r="6" spans="1:7">
      <c r="B6" s="466" t="s">
        <v>55</v>
      </c>
      <c r="C6" s="467"/>
      <c r="D6" s="467"/>
      <c r="E6" s="467"/>
      <c r="F6" s="467"/>
    </row>
    <row r="7" spans="1:7">
      <c r="B7" s="71" t="s">
        <v>134</v>
      </c>
      <c r="C7" s="476">
        <v>3415</v>
      </c>
      <c r="D7" s="476">
        <v>4533</v>
      </c>
      <c r="E7" s="476">
        <v>6361</v>
      </c>
      <c r="F7" s="476">
        <v>8080</v>
      </c>
    </row>
    <row r="8" spans="1:7">
      <c r="B8" s="71" t="s">
        <v>135</v>
      </c>
      <c r="C8" s="476" t="s">
        <v>57</v>
      </c>
      <c r="D8" s="476">
        <v>806</v>
      </c>
      <c r="E8" s="476">
        <v>2301</v>
      </c>
      <c r="F8" s="476">
        <v>5206</v>
      </c>
    </row>
    <row r="9" spans="1:7">
      <c r="B9" s="71" t="s">
        <v>136</v>
      </c>
      <c r="C9" s="476">
        <v>538</v>
      </c>
      <c r="D9" s="476">
        <v>1506</v>
      </c>
      <c r="E9" s="476">
        <v>3172</v>
      </c>
      <c r="F9" s="476">
        <v>6196</v>
      </c>
    </row>
    <row r="10" spans="1:7">
      <c r="B10" s="71" t="s">
        <v>137</v>
      </c>
      <c r="C10" s="476" t="s">
        <v>57</v>
      </c>
      <c r="D10" s="476" t="s">
        <v>57</v>
      </c>
      <c r="E10" s="476">
        <v>258</v>
      </c>
      <c r="F10" s="476">
        <v>737</v>
      </c>
    </row>
    <row r="11" spans="1:7">
      <c r="B11" s="71" t="s">
        <v>138</v>
      </c>
      <c r="C11" s="476">
        <v>240</v>
      </c>
      <c r="D11" s="476">
        <v>234</v>
      </c>
      <c r="E11" s="476">
        <v>22</v>
      </c>
      <c r="F11" s="476">
        <v>24</v>
      </c>
    </row>
    <row r="12" spans="1:7">
      <c r="B12" s="301" t="s">
        <v>139</v>
      </c>
      <c r="C12" s="217">
        <f>SUM(C7:C11)</f>
        <v>4193</v>
      </c>
      <c r="D12" s="217">
        <f t="shared" ref="D12:F12" si="0">SUM(D7:D11)</f>
        <v>7079</v>
      </c>
      <c r="E12" s="217">
        <f t="shared" si="0"/>
        <v>12114</v>
      </c>
      <c r="F12" s="217">
        <f t="shared" si="0"/>
        <v>20243</v>
      </c>
      <c r="G12" s="11"/>
    </row>
    <row r="13" spans="1:7" s="8" customFormat="1">
      <c r="B13" s="528" t="s">
        <v>140</v>
      </c>
      <c r="C13" s="529" t="s">
        <v>57</v>
      </c>
      <c r="D13" s="529">
        <f>D12/C12-1</f>
        <v>0.68829000715478172</v>
      </c>
      <c r="E13" s="529">
        <f t="shared" ref="E13:F13" si="1">E12/D12-1</f>
        <v>0.71125865235202723</v>
      </c>
      <c r="F13" s="529">
        <f t="shared" si="1"/>
        <v>0.67104176985306263</v>
      </c>
    </row>
    <row r="14" spans="1:7">
      <c r="B14" s="71"/>
      <c r="C14" s="70"/>
      <c r="D14" s="70"/>
      <c r="E14" s="70"/>
      <c r="F14" s="70"/>
    </row>
    <row r="15" spans="1:7">
      <c r="B15" s="71" t="s">
        <v>141</v>
      </c>
      <c r="C15" s="476">
        <v>495</v>
      </c>
      <c r="D15" s="476">
        <v>681</v>
      </c>
      <c r="E15" s="476">
        <v>847</v>
      </c>
      <c r="F15" s="476">
        <v>1077</v>
      </c>
    </row>
    <row r="16" spans="1:7">
      <c r="B16" s="77" t="s">
        <v>142</v>
      </c>
      <c r="C16" s="224">
        <f>SUM(C15,C12)</f>
        <v>4688</v>
      </c>
      <c r="D16" s="224">
        <f>SUM(D15,D12)</f>
        <v>7760</v>
      </c>
      <c r="E16" s="224">
        <f>SUM(E15,E12)</f>
        <v>12961</v>
      </c>
      <c r="F16" s="224">
        <f>SUM(F15,F12)</f>
        <v>21320</v>
      </c>
    </row>
    <row r="17" spans="2:11">
      <c r="C17" s="419"/>
      <c r="D17" s="419"/>
      <c r="E17" s="419"/>
      <c r="F17" s="419"/>
    </row>
    <row r="18" spans="2:11">
      <c r="B18" s="468" t="s">
        <v>143</v>
      </c>
      <c r="C18" s="419"/>
      <c r="D18" s="419"/>
      <c r="E18" s="419"/>
      <c r="F18" s="419"/>
    </row>
    <row r="19" spans="2:11">
      <c r="B19" s="53" t="s">
        <v>144</v>
      </c>
      <c r="C19" s="476">
        <v>552</v>
      </c>
      <c r="D19" s="476">
        <v>1438</v>
      </c>
      <c r="E19" s="476">
        <v>2887</v>
      </c>
      <c r="F19" s="476">
        <v>5653</v>
      </c>
    </row>
    <row r="20" spans="2:11" ht="14.25" customHeight="1">
      <c r="B20" s="53" t="s">
        <v>145</v>
      </c>
      <c r="C20" s="476">
        <v>-43</v>
      </c>
      <c r="D20" s="476">
        <v>-28</v>
      </c>
      <c r="E20" s="476">
        <v>-5</v>
      </c>
      <c r="F20" s="476">
        <v>-88</v>
      </c>
    </row>
    <row r="21" spans="2:11">
      <c r="B21" s="53" t="s">
        <v>146</v>
      </c>
      <c r="C21" s="476">
        <v>1814</v>
      </c>
      <c r="D21" s="476">
        <v>2537</v>
      </c>
      <c r="E21" s="476">
        <v>3915</v>
      </c>
      <c r="F21" s="476">
        <v>5728</v>
      </c>
    </row>
    <row r="22" spans="2:11">
      <c r="B22" s="60"/>
      <c r="C22" s="530"/>
      <c r="D22" s="530"/>
      <c r="E22" s="98"/>
      <c r="F22" s="98"/>
    </row>
    <row r="23" spans="2:11" s="3" customFormat="1">
      <c r="B23" s="531" t="s">
        <v>147</v>
      </c>
      <c r="C23" s="92">
        <f>C12-C19-C20-C21</f>
        <v>1870</v>
      </c>
      <c r="D23" s="92">
        <f t="shared" ref="D23:F23" si="2">D12-D19-D20-D21</f>
        <v>3132</v>
      </c>
      <c r="E23" s="92">
        <f t="shared" si="2"/>
        <v>5317</v>
      </c>
      <c r="F23" s="92">
        <f t="shared" si="2"/>
        <v>8950</v>
      </c>
    </row>
    <row r="24" spans="2:11" s="3" customFormat="1">
      <c r="B24" s="532" t="s">
        <v>148</v>
      </c>
      <c r="C24" s="533">
        <f>C23/C12</f>
        <v>0.4459813975673742</v>
      </c>
      <c r="D24" s="533">
        <f t="shared" ref="D24:F24" si="3">D23/D12</f>
        <v>0.44243537222771578</v>
      </c>
      <c r="E24" s="533">
        <f t="shared" si="3"/>
        <v>0.43891365362390622</v>
      </c>
      <c r="F24" s="533">
        <f t="shared" si="3"/>
        <v>0.44212814306179915</v>
      </c>
    </row>
    <row r="25" spans="2:11" s="3" customFormat="1">
      <c r="B25" s="469"/>
      <c r="C25" s="470"/>
      <c r="D25" s="470"/>
      <c r="E25" s="471"/>
      <c r="F25" s="471"/>
    </row>
    <row r="26" spans="2:11" s="3" customFormat="1">
      <c r="B26" s="468" t="s">
        <v>149</v>
      </c>
      <c r="C26" s="470"/>
      <c r="D26" s="470"/>
      <c r="E26" s="471"/>
      <c r="F26" s="471"/>
    </row>
    <row r="27" spans="2:11" s="3" customFormat="1">
      <c r="B27" s="534" t="s">
        <v>150</v>
      </c>
      <c r="C27" s="476">
        <v>755</v>
      </c>
      <c r="D27" s="476">
        <v>959</v>
      </c>
      <c r="E27" s="476">
        <v>1144</v>
      </c>
      <c r="F27" s="476">
        <v>1760</v>
      </c>
    </row>
    <row r="28" spans="2:11" s="3" customFormat="1">
      <c r="B28" s="534" t="s">
        <v>151</v>
      </c>
      <c r="C28" s="476">
        <v>878</v>
      </c>
      <c r="D28" s="476">
        <v>506</v>
      </c>
      <c r="E28" s="476">
        <v>515</v>
      </c>
      <c r="F28" s="476">
        <v>798</v>
      </c>
      <c r="H28" s="37"/>
    </row>
    <row r="29" spans="2:11" s="3" customFormat="1">
      <c r="B29" s="535" t="s">
        <v>152</v>
      </c>
      <c r="C29" s="536">
        <f>SUM(C27:C28)</f>
        <v>1633</v>
      </c>
      <c r="D29" s="536">
        <f t="shared" ref="D29:F29" si="4">SUM(D27:D28)</f>
        <v>1465</v>
      </c>
      <c r="E29" s="536">
        <f t="shared" si="4"/>
        <v>1659</v>
      </c>
      <c r="F29" s="536">
        <f t="shared" si="4"/>
        <v>2558</v>
      </c>
    </row>
    <row r="30" spans="2:11" s="3" customFormat="1">
      <c r="B30" s="472"/>
      <c r="C30" s="470"/>
      <c r="D30" s="470"/>
      <c r="E30" s="471"/>
      <c r="F30" s="471"/>
    </row>
    <row r="31" spans="2:11" s="3" customFormat="1">
      <c r="B31" s="468" t="s">
        <v>153</v>
      </c>
      <c r="C31" s="470"/>
      <c r="D31" s="470"/>
      <c r="E31" s="471"/>
      <c r="F31" s="471"/>
      <c r="K31" s="42"/>
    </row>
    <row r="32" spans="2:11" s="3" customFormat="1">
      <c r="B32" s="537" t="s">
        <v>154</v>
      </c>
      <c r="C32" s="538">
        <v>1633</v>
      </c>
      <c r="D32" s="538">
        <v>1465</v>
      </c>
      <c r="E32" s="538">
        <v>526</v>
      </c>
      <c r="F32" s="538">
        <v>863</v>
      </c>
    </row>
    <row r="33" spans="2:10" s="3" customFormat="1">
      <c r="B33" s="537" t="s">
        <v>155</v>
      </c>
      <c r="C33" s="538">
        <v>289</v>
      </c>
      <c r="D33" s="538">
        <v>387</v>
      </c>
      <c r="E33" s="538">
        <v>485</v>
      </c>
      <c r="F33" s="538">
        <v>644</v>
      </c>
    </row>
    <row r="34" spans="2:10" s="3" customFormat="1">
      <c r="B34" s="537" t="s">
        <v>156</v>
      </c>
      <c r="C34" s="538">
        <v>10</v>
      </c>
      <c r="D34" s="538">
        <v>42</v>
      </c>
      <c r="E34" s="538">
        <v>44</v>
      </c>
      <c r="F34" s="538">
        <v>68</v>
      </c>
    </row>
    <row r="35" spans="2:10" s="3" customFormat="1">
      <c r="B35" s="539" t="s">
        <v>157</v>
      </c>
      <c r="C35" s="538">
        <v>25</v>
      </c>
      <c r="D35" s="538">
        <v>129</v>
      </c>
      <c r="E35" s="538">
        <v>211</v>
      </c>
      <c r="F35" s="538">
        <v>400</v>
      </c>
    </row>
    <row r="36" spans="2:10" s="3" customFormat="1">
      <c r="B36" s="539" t="s">
        <v>158</v>
      </c>
      <c r="C36" s="538">
        <v>172</v>
      </c>
      <c r="D36" s="538">
        <v>297</v>
      </c>
      <c r="E36" s="538">
        <v>330</v>
      </c>
      <c r="F36" s="538">
        <v>570</v>
      </c>
    </row>
    <row r="37" spans="2:10" s="3" customFormat="1">
      <c r="B37" s="539" t="s">
        <v>159</v>
      </c>
      <c r="C37" s="538">
        <v>119</v>
      </c>
      <c r="D37" s="538">
        <v>155</v>
      </c>
      <c r="E37" s="538">
        <v>190</v>
      </c>
      <c r="F37" s="538">
        <v>228</v>
      </c>
    </row>
    <row r="38" spans="2:10" s="3" customFormat="1">
      <c r="B38" s="537" t="s">
        <v>160</v>
      </c>
      <c r="C38" s="538">
        <v>1254</v>
      </c>
      <c r="D38" s="538">
        <v>1185</v>
      </c>
      <c r="E38" s="538">
        <v>2839</v>
      </c>
      <c r="F38" s="538">
        <v>7601</v>
      </c>
    </row>
    <row r="39" spans="2:10" s="3" customFormat="1">
      <c r="B39" s="537" t="s">
        <v>161</v>
      </c>
      <c r="C39" s="538">
        <v>353</v>
      </c>
      <c r="D39" s="538">
        <v>1770</v>
      </c>
      <c r="E39" s="538">
        <v>2906</v>
      </c>
      <c r="F39" s="538">
        <v>1109</v>
      </c>
    </row>
    <row r="40" spans="2:10" s="3" customFormat="1">
      <c r="B40" s="540" t="s">
        <v>162</v>
      </c>
      <c r="C40" s="541">
        <f>SUM(C32:C39)</f>
        <v>3855</v>
      </c>
      <c r="D40" s="541">
        <f t="shared" ref="D40:F40" si="5">SUM(D32:D39)</f>
        <v>5430</v>
      </c>
      <c r="E40" s="541">
        <f t="shared" si="5"/>
        <v>7531</v>
      </c>
      <c r="F40" s="541">
        <f t="shared" si="5"/>
        <v>11483</v>
      </c>
    </row>
    <row r="41" spans="2:10" s="3" customFormat="1">
      <c r="B41" s="469"/>
      <c r="C41" s="470"/>
      <c r="D41" s="470"/>
      <c r="E41" s="471"/>
      <c r="F41" s="471"/>
    </row>
    <row r="42" spans="2:10" s="3" customFormat="1">
      <c r="B42" s="469" t="s">
        <v>163</v>
      </c>
      <c r="C42" s="413">
        <f>SUM(C46:C51)</f>
        <v>-973</v>
      </c>
      <c r="D42" s="413">
        <f t="shared" ref="D42:G42" si="6">SUM(D46:D51)</f>
        <v>-765</v>
      </c>
      <c r="E42" s="413">
        <f t="shared" si="6"/>
        <v>372</v>
      </c>
      <c r="F42" s="413">
        <f t="shared" si="6"/>
        <v>1079</v>
      </c>
      <c r="G42" s="31"/>
    </row>
    <row r="43" spans="2:10" s="3" customFormat="1">
      <c r="B43" s="473" t="s">
        <v>59</v>
      </c>
      <c r="C43" s="474">
        <f>C42/C12</f>
        <v>-0.23205342237061768</v>
      </c>
      <c r="D43" s="474">
        <f t="shared" ref="D43:F43" si="7">D42/D12</f>
        <v>-0.10806611103263172</v>
      </c>
      <c r="E43" s="474">
        <f t="shared" si="7"/>
        <v>3.0708271421495788E-2</v>
      </c>
      <c r="F43" s="474">
        <f t="shared" si="7"/>
        <v>5.3302376130020257E-2</v>
      </c>
    </row>
    <row r="44" spans="2:10" s="3" customFormat="1">
      <c r="B44" s="469"/>
      <c r="C44" s="470"/>
      <c r="D44" s="470"/>
      <c r="E44" s="471"/>
      <c r="F44" s="471"/>
    </row>
    <row r="45" spans="2:10" s="3" customFormat="1">
      <c r="B45" s="475" t="s">
        <v>164</v>
      </c>
      <c r="C45" s="470"/>
      <c r="D45" s="470"/>
      <c r="E45" s="471"/>
      <c r="F45" s="471"/>
      <c r="G45" s="15"/>
      <c r="H45" s="15"/>
      <c r="I45" s="16"/>
      <c r="J45" s="16"/>
    </row>
    <row r="46" spans="2:10" s="3" customFormat="1">
      <c r="B46" s="537" t="s">
        <v>165</v>
      </c>
      <c r="C46" s="543">
        <v>-766</v>
      </c>
      <c r="D46" s="543">
        <v>-5</v>
      </c>
      <c r="E46" s="543">
        <v>912</v>
      </c>
      <c r="F46" s="543">
        <v>1505</v>
      </c>
      <c r="G46" s="10"/>
      <c r="H46" s="9"/>
      <c r="I46" s="10"/>
      <c r="J46" s="10"/>
    </row>
    <row r="47" spans="2:10" s="3" customFormat="1">
      <c r="B47" s="537" t="s">
        <v>166</v>
      </c>
      <c r="C47" s="544" t="s">
        <v>57</v>
      </c>
      <c r="D47" s="543">
        <v>-1016</v>
      </c>
      <c r="E47" s="543">
        <v>-384</v>
      </c>
      <c r="F47" s="543">
        <v>-292</v>
      </c>
      <c r="G47" s="10"/>
      <c r="H47" s="10"/>
      <c r="I47" s="10"/>
      <c r="J47" s="10"/>
    </row>
    <row r="48" spans="2:10" s="3" customFormat="1">
      <c r="B48" s="537" t="s">
        <v>167</v>
      </c>
      <c r="C48" s="543">
        <v>-139</v>
      </c>
      <c r="D48" s="543">
        <v>-194</v>
      </c>
      <c r="E48" s="543">
        <v>-126</v>
      </c>
      <c r="F48" s="543">
        <v>-84</v>
      </c>
      <c r="G48" s="10"/>
      <c r="H48" s="10"/>
      <c r="I48" s="10"/>
      <c r="J48" s="10"/>
    </row>
    <row r="49" spans="2:10" s="3" customFormat="1">
      <c r="B49" s="537" t="s">
        <v>168</v>
      </c>
      <c r="C49" s="544" t="s">
        <v>57</v>
      </c>
      <c r="D49" s="543" t="s">
        <v>57</v>
      </c>
      <c r="E49" s="543">
        <v>-6</v>
      </c>
      <c r="F49" s="543">
        <v>-38</v>
      </c>
      <c r="G49" s="10"/>
      <c r="H49" s="10"/>
      <c r="I49" s="10"/>
      <c r="J49" s="10"/>
    </row>
    <row r="50" spans="2:10" s="3" customFormat="1">
      <c r="B50" s="537" t="s">
        <v>169</v>
      </c>
      <c r="C50" s="543">
        <v>-68</v>
      </c>
      <c r="D50" s="543">
        <v>-3</v>
      </c>
      <c r="E50" s="543">
        <v>-24</v>
      </c>
      <c r="F50" s="544" t="s">
        <v>57</v>
      </c>
      <c r="G50" s="10"/>
      <c r="H50" s="10"/>
      <c r="I50" s="10"/>
      <c r="J50" s="10"/>
    </row>
    <row r="51" spans="2:10" s="3" customFormat="1">
      <c r="B51" s="542" t="s">
        <v>170</v>
      </c>
      <c r="C51" s="544" t="s">
        <v>57</v>
      </c>
      <c r="D51" s="543">
        <v>453</v>
      </c>
      <c r="E51" s="544" t="s">
        <v>57</v>
      </c>
      <c r="F51" s="543">
        <v>-12</v>
      </c>
      <c r="G51"/>
      <c r="H51"/>
      <c r="I51"/>
      <c r="J51"/>
    </row>
    <row r="52" spans="2:10" s="3" customFormat="1">
      <c r="B52" s="469"/>
      <c r="C52" s="419"/>
      <c r="D52" s="419"/>
      <c r="E52" s="419"/>
      <c r="F52" s="419"/>
      <c r="G52" s="12"/>
      <c r="H52" s="12"/>
      <c r="I52" s="13"/>
      <c r="J52" s="13"/>
    </row>
    <row r="53" spans="2:10" s="3" customFormat="1">
      <c r="B53" s="468" t="s">
        <v>171</v>
      </c>
      <c r="C53" s="470"/>
      <c r="D53" s="470"/>
      <c r="E53" s="471"/>
      <c r="F53" s="471"/>
      <c r="G53"/>
      <c r="H53"/>
      <c r="I53"/>
      <c r="J53"/>
    </row>
    <row r="54" spans="2:10" s="3" customFormat="1">
      <c r="B54" s="546" t="s">
        <v>172</v>
      </c>
      <c r="C54" s="543">
        <v>287</v>
      </c>
      <c r="D54" s="543">
        <v>212</v>
      </c>
      <c r="E54" s="543">
        <v>524</v>
      </c>
      <c r="F54" s="543">
        <v>247</v>
      </c>
      <c r="G54"/>
      <c r="H54"/>
      <c r="I54"/>
      <c r="J54"/>
    </row>
    <row r="55" spans="2:10" s="3" customFormat="1">
      <c r="B55" s="546" t="s">
        <v>173</v>
      </c>
      <c r="C55" s="543">
        <v>108</v>
      </c>
      <c r="D55" s="543">
        <v>256</v>
      </c>
      <c r="E55" s="543">
        <v>242</v>
      </c>
      <c r="F55" s="543">
        <v>287</v>
      </c>
      <c r="G55"/>
      <c r="H55"/>
      <c r="I55"/>
      <c r="J55"/>
    </row>
    <row r="56" spans="2:10" s="3" customFormat="1">
      <c r="B56" s="547" t="s">
        <v>174</v>
      </c>
      <c r="C56" s="548">
        <v>151</v>
      </c>
      <c r="D56" s="548">
        <v>109</v>
      </c>
      <c r="E56" s="548">
        <v>159</v>
      </c>
      <c r="F56" s="548">
        <v>329</v>
      </c>
    </row>
    <row r="57" spans="2:10" s="3" customFormat="1">
      <c r="B57" s="549" t="s">
        <v>175</v>
      </c>
      <c r="C57" s="550">
        <f>SUM(C54:C56)</f>
        <v>546</v>
      </c>
      <c r="D57" s="550">
        <f t="shared" ref="D57:F57" si="8">SUM(D54:D56)</f>
        <v>577</v>
      </c>
      <c r="E57" s="550">
        <f t="shared" si="8"/>
        <v>925</v>
      </c>
      <c r="F57" s="550">
        <f t="shared" si="8"/>
        <v>863</v>
      </c>
    </row>
    <row r="58" spans="2:10" s="3" customFormat="1">
      <c r="B58" s="469"/>
      <c r="C58" s="470"/>
      <c r="D58" s="470"/>
      <c r="E58" s="471"/>
      <c r="F58" s="471"/>
    </row>
    <row r="59" spans="2:10" s="3" customFormat="1">
      <c r="B59" s="546" t="s">
        <v>176</v>
      </c>
      <c r="C59" s="88">
        <f>C42-C28</f>
        <v>-1851</v>
      </c>
      <c r="D59" s="88">
        <f t="shared" ref="D59:F59" si="9">D42-D28</f>
        <v>-1271</v>
      </c>
      <c r="E59" s="88">
        <f t="shared" si="9"/>
        <v>-143</v>
      </c>
      <c r="F59" s="88">
        <f t="shared" si="9"/>
        <v>281</v>
      </c>
    </row>
    <row r="60" spans="2:10" s="3" customFormat="1">
      <c r="B60" s="553" t="s">
        <v>177</v>
      </c>
      <c r="C60" s="477">
        <f>C59/C12</f>
        <v>-0.4414500357739089</v>
      </c>
      <c r="D60" s="477">
        <f t="shared" ref="D60:F60" si="10">D59/D12</f>
        <v>-0.17954513349343126</v>
      </c>
      <c r="E60" s="477">
        <f t="shared" si="10"/>
        <v>-1.18045236915965E-2</v>
      </c>
      <c r="F60" s="477">
        <f t="shared" si="10"/>
        <v>1.3881341698364866E-2</v>
      </c>
    </row>
    <row r="61" spans="2:10" s="3" customFormat="1">
      <c r="B61" s="546" t="s">
        <v>178</v>
      </c>
      <c r="C61" s="408">
        <f>C42-C57</f>
        <v>-1519</v>
      </c>
      <c r="D61" s="408">
        <f t="shared" ref="D61:F61" si="11">D42-D57</f>
        <v>-1342</v>
      </c>
      <c r="E61" s="408">
        <f t="shared" si="11"/>
        <v>-553</v>
      </c>
      <c r="F61" s="408">
        <f t="shared" si="11"/>
        <v>216</v>
      </c>
    </row>
    <row r="62" spans="2:10" s="3" customFormat="1">
      <c r="B62" s="554" t="s">
        <v>179</v>
      </c>
      <c r="C62" s="479">
        <f>C61/C12</f>
        <v>-0.36227045075125208</v>
      </c>
      <c r="D62" s="479">
        <f t="shared" ref="D62:F62" si="12">D61/D12</f>
        <v>-0.18957479870038141</v>
      </c>
      <c r="E62" s="479">
        <f t="shared" si="12"/>
        <v>-4.5649661548621427E-2</v>
      </c>
      <c r="F62" s="479">
        <f t="shared" si="12"/>
        <v>1.0670355184508226E-2</v>
      </c>
    </row>
    <row r="63" spans="2:10" s="3" customFormat="1">
      <c r="B63" s="546" t="s">
        <v>180</v>
      </c>
      <c r="C63" s="543">
        <v>15</v>
      </c>
      <c r="D63" s="543">
        <v>24</v>
      </c>
      <c r="E63" s="543" t="s">
        <v>57</v>
      </c>
      <c r="F63" s="543" t="s">
        <v>57</v>
      </c>
    </row>
    <row r="64" spans="2:10" s="3" customFormat="1">
      <c r="B64" s="547" t="s">
        <v>181</v>
      </c>
      <c r="C64" s="548">
        <v>9</v>
      </c>
      <c r="D64" s="548">
        <v>41</v>
      </c>
      <c r="E64" s="548">
        <v>67</v>
      </c>
      <c r="F64" s="548">
        <v>147</v>
      </c>
    </row>
    <row r="65" spans="2:13" s="3" customFormat="1">
      <c r="B65" s="555" t="s">
        <v>182</v>
      </c>
      <c r="C65" s="548">
        <v>12</v>
      </c>
      <c r="D65" s="548">
        <v>49</v>
      </c>
      <c r="E65" s="248">
        <v>72</v>
      </c>
      <c r="F65" s="548">
        <v>154</v>
      </c>
    </row>
    <row r="66" spans="2:13" s="3" customFormat="1">
      <c r="B66" s="551" t="s">
        <v>183</v>
      </c>
      <c r="C66" s="552">
        <v>297</v>
      </c>
      <c r="D66" s="552">
        <v>0</v>
      </c>
      <c r="E66" s="552">
        <v>0</v>
      </c>
      <c r="F66" s="552">
        <v>0</v>
      </c>
    </row>
    <row r="67" spans="2:13" s="3" customFormat="1">
      <c r="B67" s="453"/>
      <c r="C67" s="415"/>
      <c r="D67" s="415"/>
      <c r="E67" s="415"/>
      <c r="F67" s="415"/>
    </row>
    <row r="68" spans="2:13" s="3" customFormat="1">
      <c r="B68" s="475" t="s">
        <v>184</v>
      </c>
      <c r="C68" s="420">
        <v>-1221</v>
      </c>
      <c r="D68" s="420">
        <v>-1015</v>
      </c>
      <c r="E68" s="420">
        <v>291</v>
      </c>
      <c r="F68" s="420">
        <v>697</v>
      </c>
      <c r="H68" s="42"/>
      <c r="I68" s="42"/>
      <c r="J68" s="42"/>
      <c r="K68" s="42"/>
      <c r="L68" s="42"/>
    </row>
    <row r="69" spans="2:13" s="32" customFormat="1" ht="15.75">
      <c r="B69" s="554" t="s">
        <v>185</v>
      </c>
      <c r="C69" s="529">
        <f>C68/C12</f>
        <v>-0.29119961841163844</v>
      </c>
      <c r="D69" s="529">
        <f t="shared" ref="D69:F69" si="13">D68/D12</f>
        <v>-0.14338183359231529</v>
      </c>
      <c r="E69" s="529">
        <f t="shared" si="13"/>
        <v>2.4021792966815256E-2</v>
      </c>
      <c r="F69" s="529">
        <f t="shared" si="13"/>
        <v>3.4431655387047372E-2</v>
      </c>
      <c r="M69" s="33"/>
    </row>
    <row r="70" spans="2:13" s="3" customFormat="1" ht="15.75">
      <c r="B70" s="469"/>
      <c r="C70" s="419"/>
      <c r="D70" s="419"/>
      <c r="E70" s="419"/>
      <c r="F70" s="419"/>
      <c r="J70" s="26"/>
      <c r="M70" s="25"/>
    </row>
    <row r="71" spans="2:13" s="3" customFormat="1">
      <c r="B71" s="468" t="s">
        <v>186</v>
      </c>
      <c r="C71" s="480"/>
      <c r="D71" s="480"/>
      <c r="E71" s="419"/>
      <c r="F71" s="480"/>
    </row>
    <row r="72" spans="2:13" s="3" customFormat="1">
      <c r="B72" s="534" t="s">
        <v>187</v>
      </c>
      <c r="C72" s="476">
        <v>0</v>
      </c>
      <c r="D72" s="476">
        <v>0</v>
      </c>
      <c r="E72" s="476">
        <v>200</v>
      </c>
      <c r="F72" s="476">
        <v>267</v>
      </c>
    </row>
    <row r="73" spans="2:13" s="3" customFormat="1">
      <c r="B73" s="534" t="s">
        <v>188</v>
      </c>
      <c r="C73" s="476">
        <v>-4</v>
      </c>
      <c r="D73" s="476">
        <v>-44</v>
      </c>
      <c r="E73" s="476">
        <v>-60</v>
      </c>
      <c r="F73" s="476">
        <v>-97</v>
      </c>
    </row>
    <row r="74" spans="2:13" s="3" customFormat="1">
      <c r="B74" s="534" t="s">
        <v>189</v>
      </c>
      <c r="C74" s="217">
        <f>C72+C73</f>
        <v>-4</v>
      </c>
      <c r="D74" s="217">
        <f t="shared" ref="D74:F74" si="14">D72+D73</f>
        <v>-44</v>
      </c>
      <c r="E74" s="217">
        <f t="shared" si="14"/>
        <v>140</v>
      </c>
      <c r="F74" s="217">
        <f t="shared" si="14"/>
        <v>170</v>
      </c>
    </row>
    <row r="75" spans="2:13" s="3" customFormat="1">
      <c r="B75" s="534"/>
      <c r="C75" s="556"/>
      <c r="D75" s="556"/>
      <c r="E75" s="70"/>
      <c r="F75" s="556"/>
    </row>
    <row r="76" spans="2:13" s="3" customFormat="1">
      <c r="B76" s="481" t="s">
        <v>190</v>
      </c>
      <c r="C76" s="482">
        <v>-1223</v>
      </c>
      <c r="D76" s="482">
        <v>-971</v>
      </c>
      <c r="E76" s="482">
        <v>351</v>
      </c>
      <c r="F76" s="482">
        <v>527</v>
      </c>
    </row>
    <row r="77" spans="2:13" s="32" customFormat="1" ht="15.75">
      <c r="B77" s="478" t="s">
        <v>63</v>
      </c>
      <c r="C77" s="414">
        <f>C76/C12</f>
        <v>-0.29167660386358218</v>
      </c>
      <c r="D77" s="414">
        <f t="shared" ref="D77:F77" si="15">D76/D12</f>
        <v>-0.13716626642181098</v>
      </c>
      <c r="E77" s="414">
        <f t="shared" si="15"/>
        <v>2.8974739970282319E-2</v>
      </c>
      <c r="F77" s="414">
        <f t="shared" si="15"/>
        <v>2.6033690658499236E-2</v>
      </c>
      <c r="M77" s="33"/>
    </row>
    <row r="78" spans="2:13" s="3" customFormat="1">
      <c r="B78" s="469"/>
      <c r="C78" s="480"/>
      <c r="D78" s="480"/>
      <c r="E78" s="480"/>
      <c r="F78" s="480"/>
    </row>
    <row r="79" spans="2:13" s="3" customFormat="1">
      <c r="B79" s="531" t="s">
        <v>191</v>
      </c>
      <c r="C79" s="483">
        <f>C76/764</f>
        <v>-1.6007853403141361</v>
      </c>
      <c r="D79" s="483">
        <f>D76/836</f>
        <v>-1.1614832535885167</v>
      </c>
      <c r="E79" s="483">
        <f>E76/868</f>
        <v>0.40437788018433179</v>
      </c>
      <c r="F79" s="483">
        <f>F76/907</f>
        <v>0.58103638368246968</v>
      </c>
    </row>
    <row r="80" spans="2:13" s="4" customFormat="1">
      <c r="B80" s="557" t="s">
        <v>192</v>
      </c>
      <c r="C80" s="558">
        <v>-1.67</v>
      </c>
      <c r="D80" s="558">
        <v>-1.2</v>
      </c>
      <c r="E80" s="558">
        <v>0.4</v>
      </c>
      <c r="F80" s="558">
        <v>0.57999999999999996</v>
      </c>
    </row>
    <row r="81" spans="1:13">
      <c r="C81" s="419"/>
      <c r="D81" s="419"/>
      <c r="E81" s="419"/>
      <c r="F81" s="419"/>
    </row>
    <row r="82" spans="1:13">
      <c r="C82" s="419"/>
      <c r="D82" s="419"/>
      <c r="E82" s="419"/>
      <c r="F82" s="419"/>
    </row>
    <row r="83" spans="1:13">
      <c r="A83" t="s">
        <v>132</v>
      </c>
      <c r="B83" s="727" t="s">
        <v>193</v>
      </c>
      <c r="C83" s="727"/>
      <c r="D83" s="727"/>
      <c r="E83" s="727"/>
      <c r="F83" s="727"/>
    </row>
    <row r="84" spans="1:13" s="1" customFormat="1">
      <c r="B84" s="484" t="s">
        <v>194</v>
      </c>
      <c r="C84" s="485"/>
      <c r="D84" s="485"/>
      <c r="E84" s="485"/>
      <c r="F84" s="485"/>
    </row>
    <row r="85" spans="1:13">
      <c r="B85" s="408" t="s">
        <v>195</v>
      </c>
      <c r="C85" s="543">
        <v>51</v>
      </c>
      <c r="D85" s="543">
        <v>209</v>
      </c>
      <c r="E85" s="543">
        <v>287</v>
      </c>
      <c r="F85" s="543">
        <v>965</v>
      </c>
    </row>
    <row r="86" spans="1:13">
      <c r="B86" s="408" t="s">
        <v>196</v>
      </c>
      <c r="C86" s="543">
        <v>18</v>
      </c>
      <c r="D86" s="543">
        <v>18</v>
      </c>
      <c r="E86" s="543">
        <v>51</v>
      </c>
      <c r="F86" s="543">
        <v>0</v>
      </c>
    </row>
    <row r="87" spans="1:13">
      <c r="B87" s="408" t="s">
        <v>197</v>
      </c>
      <c r="C87" s="543">
        <v>64</v>
      </c>
      <c r="D87" s="543">
        <v>427</v>
      </c>
      <c r="E87" s="543">
        <v>690</v>
      </c>
      <c r="F87" s="543">
        <v>1918</v>
      </c>
    </row>
    <row r="88" spans="1:13">
      <c r="B88" s="408" t="s">
        <v>198</v>
      </c>
      <c r="C88" s="543">
        <v>1209</v>
      </c>
      <c r="D88" s="543">
        <v>4717</v>
      </c>
      <c r="E88" s="543">
        <v>4717</v>
      </c>
      <c r="F88" s="543">
        <v>5737</v>
      </c>
    </row>
    <row r="89" spans="1:13">
      <c r="B89" s="408" t="s">
        <v>199</v>
      </c>
      <c r="C89" s="543">
        <v>63</v>
      </c>
      <c r="D89" s="543">
        <v>991</v>
      </c>
      <c r="E89" s="543">
        <v>754</v>
      </c>
      <c r="F89" s="543">
        <v>912</v>
      </c>
    </row>
    <row r="90" spans="1:13">
      <c r="B90" s="408" t="s">
        <v>200</v>
      </c>
      <c r="C90" s="543">
        <v>3086</v>
      </c>
      <c r="D90" s="543">
        <v>2280</v>
      </c>
      <c r="E90" s="543">
        <v>10365</v>
      </c>
      <c r="F90" s="543">
        <v>10920</v>
      </c>
    </row>
    <row r="91" spans="1:13">
      <c r="B91" s="408" t="s">
        <v>201</v>
      </c>
      <c r="C91" s="543">
        <v>5219</v>
      </c>
      <c r="D91" s="543">
        <v>1894</v>
      </c>
      <c r="E91" s="543">
        <v>747</v>
      </c>
      <c r="F91" s="543">
        <v>2744</v>
      </c>
    </row>
    <row r="92" spans="1:13" s="2" customFormat="1">
      <c r="B92" s="88" t="s">
        <v>202</v>
      </c>
      <c r="C92" s="543">
        <v>67</v>
      </c>
      <c r="D92" s="543">
        <v>116</v>
      </c>
      <c r="E92" s="543">
        <v>221</v>
      </c>
      <c r="F92" s="543">
        <v>129</v>
      </c>
    </row>
    <row r="93" spans="1:13">
      <c r="B93" s="408" t="s">
        <v>203</v>
      </c>
      <c r="C93" s="543">
        <v>5</v>
      </c>
      <c r="D93" s="543">
        <v>118</v>
      </c>
      <c r="E93" s="543">
        <v>66</v>
      </c>
      <c r="F93" s="543">
        <v>597</v>
      </c>
    </row>
    <row r="94" spans="1:13">
      <c r="B94" s="559" t="s">
        <v>194</v>
      </c>
      <c r="C94" s="560">
        <f>SUM(C85:C93)</f>
        <v>9782</v>
      </c>
      <c r="D94" s="560">
        <f t="shared" ref="D94:F94" si="16">SUM(D85:D93)</f>
        <v>10770</v>
      </c>
      <c r="E94" s="560">
        <f t="shared" si="16"/>
        <v>17898</v>
      </c>
      <c r="F94" s="560">
        <f t="shared" si="16"/>
        <v>23922</v>
      </c>
      <c r="G94" s="34"/>
      <c r="H94" s="34"/>
      <c r="I94" s="34"/>
      <c r="J94" s="34"/>
      <c r="K94" s="34">
        <f t="shared" ref="H94:M94" si="17">SUM(G85:G93)</f>
        <v>0</v>
      </c>
      <c r="L94" s="34">
        <f t="shared" si="17"/>
        <v>0</v>
      </c>
      <c r="M94" s="34">
        <f t="shared" si="17"/>
        <v>0</v>
      </c>
    </row>
    <row r="95" spans="1:13">
      <c r="C95" s="419"/>
      <c r="D95" s="419"/>
      <c r="E95" s="419"/>
      <c r="F95" s="419"/>
    </row>
    <row r="96" spans="1:13">
      <c r="B96" s="468" t="s">
        <v>204</v>
      </c>
      <c r="C96" s="419"/>
      <c r="D96" s="419"/>
      <c r="E96" s="419"/>
      <c r="F96" s="419"/>
    </row>
    <row r="97" spans="2:11">
      <c r="B97" s="408" t="s">
        <v>205</v>
      </c>
      <c r="C97" s="543">
        <v>40</v>
      </c>
      <c r="D97" s="543">
        <v>83</v>
      </c>
      <c r="E97" s="543">
        <v>88</v>
      </c>
      <c r="F97" s="543">
        <v>176</v>
      </c>
    </row>
    <row r="98" spans="2:11">
      <c r="B98" s="408" t="s">
        <v>206</v>
      </c>
      <c r="C98" s="543">
        <v>1632</v>
      </c>
      <c r="D98" s="543">
        <v>4485</v>
      </c>
      <c r="E98" s="543">
        <v>1280</v>
      </c>
      <c r="F98" s="543">
        <v>2272</v>
      </c>
    </row>
    <row r="99" spans="2:11">
      <c r="B99" s="408" t="s">
        <v>207</v>
      </c>
      <c r="C99" s="543">
        <v>16</v>
      </c>
      <c r="D99" s="543">
        <v>45</v>
      </c>
      <c r="E99" s="543">
        <v>779</v>
      </c>
      <c r="F99" s="543">
        <v>1946</v>
      </c>
    </row>
    <row r="100" spans="2:11">
      <c r="B100" s="88" t="s">
        <v>208</v>
      </c>
      <c r="C100" s="543">
        <v>392</v>
      </c>
      <c r="D100" s="543">
        <v>218</v>
      </c>
      <c r="E100" s="543">
        <v>309</v>
      </c>
      <c r="F100" s="543">
        <v>666</v>
      </c>
    </row>
    <row r="101" spans="2:11">
      <c r="B101" s="408" t="s">
        <v>209</v>
      </c>
      <c r="C101" s="543">
        <v>1183</v>
      </c>
      <c r="D101" s="543">
        <v>799</v>
      </c>
      <c r="E101" s="543">
        <v>422</v>
      </c>
      <c r="F101" s="543">
        <v>2948</v>
      </c>
    </row>
    <row r="102" spans="2:11">
      <c r="B102" s="408" t="s">
        <v>210</v>
      </c>
      <c r="C102" s="543">
        <v>375</v>
      </c>
      <c r="D102" s="543">
        <v>0</v>
      </c>
      <c r="E102" s="543">
        <v>0</v>
      </c>
      <c r="F102" s="543">
        <v>0</v>
      </c>
    </row>
    <row r="103" spans="2:11">
      <c r="B103" s="408" t="s">
        <v>211</v>
      </c>
      <c r="C103" s="543">
        <v>3667</v>
      </c>
      <c r="D103" s="543">
        <v>4830</v>
      </c>
      <c r="E103" s="543">
        <v>2324</v>
      </c>
      <c r="F103" s="543">
        <v>2769</v>
      </c>
    </row>
    <row r="104" spans="2:11">
      <c r="B104" s="408" t="s">
        <v>212</v>
      </c>
      <c r="C104" s="543">
        <v>240</v>
      </c>
      <c r="D104" s="543">
        <v>372</v>
      </c>
      <c r="E104" s="543">
        <v>256</v>
      </c>
      <c r="F104" s="543">
        <v>924</v>
      </c>
    </row>
    <row r="105" spans="2:11">
      <c r="B105" s="559" t="s">
        <v>204</v>
      </c>
      <c r="C105" s="560">
        <f>SUM(C97:C104)</f>
        <v>7545</v>
      </c>
      <c r="D105" s="560">
        <f t="shared" ref="D105:F105" si="18">SUM(D97:D104)</f>
        <v>10832</v>
      </c>
      <c r="E105" s="560">
        <f t="shared" si="18"/>
        <v>5458</v>
      </c>
      <c r="F105" s="560">
        <f t="shared" si="18"/>
        <v>11701</v>
      </c>
      <c r="G105" s="34"/>
      <c r="H105" s="34"/>
      <c r="I105" s="34"/>
      <c r="J105" s="34"/>
      <c r="K105" s="34"/>
    </row>
    <row r="106" spans="2:11">
      <c r="C106" s="419"/>
      <c r="D106" s="419"/>
      <c r="E106" s="419"/>
      <c r="F106" s="419"/>
      <c r="G106" s="34"/>
      <c r="H106" s="34"/>
      <c r="I106" s="34"/>
      <c r="J106" s="34"/>
    </row>
    <row r="107" spans="2:11">
      <c r="B107" s="486" t="s">
        <v>213</v>
      </c>
      <c r="C107" s="487">
        <f>SUM(C105,C94)</f>
        <v>17327</v>
      </c>
      <c r="D107" s="487">
        <f>SUM(D105,D94)</f>
        <v>21602</v>
      </c>
      <c r="E107" s="487">
        <f>SUM(E105,E94)</f>
        <v>23356</v>
      </c>
      <c r="F107" s="487">
        <f>SUM(F105,F94)</f>
        <v>35623</v>
      </c>
    </row>
    <row r="108" spans="2:11">
      <c r="C108" s="419"/>
      <c r="D108" s="419"/>
      <c r="E108" s="419"/>
      <c r="F108" s="419"/>
    </row>
    <row r="109" spans="2:11">
      <c r="B109" s="468" t="s">
        <v>214</v>
      </c>
      <c r="C109" s="419"/>
      <c r="D109" s="419"/>
      <c r="E109" s="419"/>
      <c r="F109" s="419"/>
    </row>
    <row r="110" spans="2:11">
      <c r="B110" s="408" t="s">
        <v>215</v>
      </c>
      <c r="C110" s="543">
        <v>764</v>
      </c>
      <c r="D110" s="543">
        <v>836</v>
      </c>
      <c r="E110" s="543">
        <v>868</v>
      </c>
      <c r="F110" s="543">
        <v>907</v>
      </c>
    </row>
    <row r="111" spans="2:11">
      <c r="B111" s="408" t="s">
        <v>216</v>
      </c>
      <c r="C111" s="543">
        <v>15742</v>
      </c>
      <c r="D111" s="543">
        <v>18623</v>
      </c>
      <c r="E111" s="543">
        <v>19545</v>
      </c>
      <c r="F111" s="543">
        <v>29410</v>
      </c>
    </row>
    <row r="112" spans="2:11">
      <c r="B112" s="408" t="s">
        <v>217</v>
      </c>
      <c r="C112" s="543">
        <v>-7</v>
      </c>
      <c r="D112" s="543">
        <v>-7</v>
      </c>
      <c r="E112" s="543">
        <v>-7</v>
      </c>
      <c r="F112" s="543">
        <v>-7</v>
      </c>
    </row>
    <row r="113" spans="2:8">
      <c r="B113" s="559" t="s">
        <v>218</v>
      </c>
      <c r="C113" s="560">
        <f>SUM(C110:C112)</f>
        <v>16499</v>
      </c>
      <c r="D113" s="560">
        <f t="shared" ref="D113:F113" si="19">SUM(D110:D112)</f>
        <v>19452</v>
      </c>
      <c r="E113" s="560">
        <f t="shared" si="19"/>
        <v>20406</v>
      </c>
      <c r="F113" s="560">
        <f t="shared" si="19"/>
        <v>30310</v>
      </c>
    </row>
    <row r="114" spans="2:8">
      <c r="C114" s="419"/>
      <c r="D114" s="419"/>
      <c r="E114" s="419"/>
      <c r="F114" s="419"/>
    </row>
    <row r="115" spans="2:8">
      <c r="B115" s="468" t="s">
        <v>219</v>
      </c>
      <c r="C115" s="419"/>
      <c r="D115" s="419"/>
      <c r="E115" s="419"/>
      <c r="F115" s="419"/>
    </row>
    <row r="116" spans="2:8">
      <c r="B116" s="408" t="s">
        <v>220</v>
      </c>
      <c r="C116" s="543">
        <v>52</v>
      </c>
      <c r="D116" s="543">
        <v>351</v>
      </c>
      <c r="E116" s="543">
        <v>585</v>
      </c>
      <c r="F116" s="543">
        <v>1654</v>
      </c>
    </row>
    <row r="117" spans="2:8">
      <c r="B117" s="408" t="s">
        <v>221</v>
      </c>
      <c r="C117" s="543">
        <v>0</v>
      </c>
      <c r="D117" s="543">
        <v>0</v>
      </c>
      <c r="E117" s="543">
        <v>6</v>
      </c>
      <c r="F117" s="543">
        <v>0</v>
      </c>
    </row>
    <row r="118" spans="2:8">
      <c r="B118" s="408" t="s">
        <v>222</v>
      </c>
      <c r="C118" s="543"/>
      <c r="D118" s="543">
        <v>250</v>
      </c>
      <c r="E118" s="543">
        <v>188</v>
      </c>
      <c r="F118" s="543">
        <v>212</v>
      </c>
    </row>
    <row r="119" spans="2:8">
      <c r="B119" s="408" t="s">
        <v>223</v>
      </c>
      <c r="C119" s="543">
        <v>65</v>
      </c>
      <c r="D119" s="543">
        <v>94</v>
      </c>
      <c r="E119" s="543">
        <v>88</v>
      </c>
      <c r="F119" s="543">
        <v>120</v>
      </c>
      <c r="H119" s="1"/>
    </row>
    <row r="120" spans="2:8">
      <c r="B120" s="408" t="s">
        <v>224</v>
      </c>
      <c r="C120" s="543">
        <v>0</v>
      </c>
      <c r="D120" s="543">
        <v>10</v>
      </c>
      <c r="E120" s="543" t="s">
        <v>57</v>
      </c>
      <c r="F120" s="543">
        <v>1</v>
      </c>
    </row>
    <row r="121" spans="2:8">
      <c r="B121" s="559" t="s">
        <v>225</v>
      </c>
      <c r="C121" s="560">
        <f>SUM(C116:C120)</f>
        <v>117</v>
      </c>
      <c r="D121" s="560">
        <f t="shared" ref="D121:F121" si="20">SUM(D116:D120)</f>
        <v>705</v>
      </c>
      <c r="E121" s="560">
        <f t="shared" si="20"/>
        <v>867</v>
      </c>
      <c r="F121" s="560">
        <f t="shared" si="20"/>
        <v>1987</v>
      </c>
    </row>
    <row r="122" spans="2:8">
      <c r="B122" s="488"/>
      <c r="C122" s="489"/>
      <c r="D122" s="489"/>
      <c r="E122" s="489"/>
      <c r="F122" s="489"/>
      <c r="G122" s="1"/>
    </row>
    <row r="123" spans="2:8">
      <c r="B123" s="468" t="s">
        <v>226</v>
      </c>
      <c r="C123" s="489"/>
      <c r="D123" s="489"/>
      <c r="E123" s="489"/>
      <c r="F123" s="489"/>
      <c r="G123" s="1"/>
    </row>
    <row r="124" spans="2:8">
      <c r="B124" s="408" t="s">
        <v>227</v>
      </c>
      <c r="C124" s="543">
        <v>19</v>
      </c>
      <c r="D124" s="543">
        <v>115</v>
      </c>
      <c r="E124" s="543">
        <v>161</v>
      </c>
      <c r="F124" s="543">
        <v>391</v>
      </c>
    </row>
    <row r="125" spans="2:8">
      <c r="B125" s="408" t="s">
        <v>228</v>
      </c>
      <c r="C125" s="543">
        <v>7</v>
      </c>
      <c r="D125" s="543">
        <v>9</v>
      </c>
      <c r="E125" s="543">
        <v>15</v>
      </c>
      <c r="F125" s="543">
        <v>75</v>
      </c>
    </row>
    <row r="126" spans="2:8">
      <c r="B126" s="408" t="s">
        <v>229</v>
      </c>
      <c r="C126" s="543">
        <v>422</v>
      </c>
      <c r="D126" s="543">
        <v>671</v>
      </c>
      <c r="E126" s="543">
        <v>871</v>
      </c>
      <c r="F126" s="543">
        <v>1461</v>
      </c>
    </row>
    <row r="127" spans="2:8">
      <c r="B127" s="408" t="s">
        <v>230</v>
      </c>
      <c r="C127" s="543">
        <v>0</v>
      </c>
      <c r="D127" s="543">
        <v>125</v>
      </c>
      <c r="E127" s="543">
        <v>195</v>
      </c>
      <c r="F127" s="543">
        <v>0</v>
      </c>
    </row>
    <row r="128" spans="2:8">
      <c r="B128" s="408" t="s">
        <v>231</v>
      </c>
      <c r="C128" s="543">
        <v>175</v>
      </c>
      <c r="D128" s="543">
        <v>223</v>
      </c>
      <c r="E128" s="543">
        <v>449</v>
      </c>
      <c r="F128" s="543">
        <v>913</v>
      </c>
    </row>
    <row r="129" spans="1:6">
      <c r="B129" s="408" t="s">
        <v>232</v>
      </c>
      <c r="C129" s="543">
        <v>88</v>
      </c>
      <c r="D129" s="543">
        <v>302</v>
      </c>
      <c r="E129" s="543">
        <v>392</v>
      </c>
      <c r="F129" s="543">
        <v>486</v>
      </c>
    </row>
    <row r="130" spans="1:6">
      <c r="B130" s="559" t="s">
        <v>233</v>
      </c>
      <c r="C130" s="560">
        <f>SUM(C124:C129)</f>
        <v>711</v>
      </c>
      <c r="D130" s="560">
        <f>SUM(D124:D129)</f>
        <v>1445</v>
      </c>
      <c r="E130" s="560">
        <f>SUM(E124:E129)</f>
        <v>2083</v>
      </c>
      <c r="F130" s="560">
        <f>SUM(F124:F129)</f>
        <v>3326</v>
      </c>
    </row>
    <row r="131" spans="1:6">
      <c r="C131" s="419"/>
      <c r="D131" s="419"/>
      <c r="E131" s="419"/>
      <c r="F131" s="419"/>
    </row>
    <row r="132" spans="1:6">
      <c r="B132" s="486" t="s">
        <v>234</v>
      </c>
      <c r="C132" s="487">
        <f>SUM(C130,C121,C113)</f>
        <v>17327</v>
      </c>
      <c r="D132" s="487">
        <f>SUM(D130,D121,D113)</f>
        <v>21602</v>
      </c>
      <c r="E132" s="487">
        <f>SUM(E130,E121,E113)</f>
        <v>23356</v>
      </c>
      <c r="F132" s="487">
        <f>SUM(F130,F121,F113)</f>
        <v>35623</v>
      </c>
    </row>
    <row r="133" spans="1:6">
      <c r="C133" s="419"/>
      <c r="D133" s="419"/>
      <c r="E133" s="419"/>
      <c r="F133" s="419"/>
    </row>
    <row r="134" spans="1:6">
      <c r="B134" s="490" t="s">
        <v>235</v>
      </c>
      <c r="C134" s="491">
        <f>C107-C132</f>
        <v>0</v>
      </c>
      <c r="D134" s="491">
        <f>D107-D132</f>
        <v>0</v>
      </c>
      <c r="E134" s="491">
        <f>E107-E132</f>
        <v>0</v>
      </c>
      <c r="F134" s="491">
        <f>F107-F132</f>
        <v>0</v>
      </c>
    </row>
    <row r="135" spans="1:6">
      <c r="C135" s="419"/>
      <c r="D135" s="419"/>
      <c r="E135" s="419"/>
      <c r="F135" s="419"/>
    </row>
    <row r="136" spans="1:6">
      <c r="C136" s="419"/>
      <c r="D136" s="419"/>
      <c r="E136" s="419"/>
      <c r="F136" s="419"/>
    </row>
    <row r="137" spans="1:6">
      <c r="A137" t="s">
        <v>132</v>
      </c>
      <c r="B137" s="623" t="s">
        <v>236</v>
      </c>
      <c r="C137" s="492"/>
      <c r="D137" s="492"/>
      <c r="E137" s="492"/>
      <c r="F137" s="492"/>
    </row>
    <row r="138" spans="1:6">
      <c r="B138" s="468" t="s">
        <v>237</v>
      </c>
      <c r="C138" s="419"/>
      <c r="D138" s="419"/>
      <c r="E138" s="419"/>
      <c r="F138" s="419"/>
    </row>
    <row r="139" spans="1:6">
      <c r="B139" s="561" t="s">
        <v>62</v>
      </c>
      <c r="C139" s="54">
        <f>C76</f>
        <v>-1223</v>
      </c>
      <c r="D139" s="54">
        <f t="shared" ref="D139:F139" si="21">D76</f>
        <v>-971</v>
      </c>
      <c r="E139" s="54">
        <f t="shared" si="21"/>
        <v>351</v>
      </c>
      <c r="F139" s="54">
        <f t="shared" si="21"/>
        <v>527</v>
      </c>
    </row>
    <row r="140" spans="1:6">
      <c r="B140" s="408" t="s">
        <v>238</v>
      </c>
      <c r="C140" s="543">
        <v>-9</v>
      </c>
      <c r="D140" s="543">
        <v>-28</v>
      </c>
      <c r="E140" s="543">
        <v>-9</v>
      </c>
      <c r="F140" s="543">
        <v>-10</v>
      </c>
    </row>
    <row r="141" spans="1:6">
      <c r="B141" s="408" t="s">
        <v>239</v>
      </c>
      <c r="C141" s="54">
        <f>C54+C56</f>
        <v>438</v>
      </c>
      <c r="D141" s="54">
        <f t="shared" ref="D141:F141" si="22">D54+D56</f>
        <v>321</v>
      </c>
      <c r="E141" s="54">
        <f t="shared" si="22"/>
        <v>683</v>
      </c>
      <c r="F141" s="54">
        <f t="shared" si="22"/>
        <v>576</v>
      </c>
    </row>
    <row r="142" spans="1:6">
      <c r="B142" s="408" t="s">
        <v>240</v>
      </c>
      <c r="C142" s="543">
        <v>108</v>
      </c>
      <c r="D142" s="543">
        <v>256</v>
      </c>
      <c r="E142" s="543">
        <v>242</v>
      </c>
      <c r="F142" s="543">
        <v>287</v>
      </c>
    </row>
    <row r="143" spans="1:6">
      <c r="B143" s="408" t="s">
        <v>241</v>
      </c>
      <c r="C143" s="543">
        <v>21</v>
      </c>
      <c r="D143" s="543">
        <v>30</v>
      </c>
      <c r="E143" s="543">
        <v>68</v>
      </c>
      <c r="F143" s="543">
        <v>71</v>
      </c>
    </row>
    <row r="144" spans="1:6">
      <c r="B144" s="408" t="s">
        <v>242</v>
      </c>
      <c r="C144" s="543">
        <v>0</v>
      </c>
      <c r="D144" s="543">
        <v>0</v>
      </c>
      <c r="E144" s="543">
        <v>1</v>
      </c>
      <c r="F144" s="543">
        <v>0</v>
      </c>
    </row>
    <row r="145" spans="2:6">
      <c r="B145" s="408" t="s">
        <v>243</v>
      </c>
      <c r="C145" s="543">
        <v>-1</v>
      </c>
      <c r="D145" s="543">
        <v>-1</v>
      </c>
      <c r="E145" s="543">
        <v>-10</v>
      </c>
      <c r="F145" s="543">
        <v>-3</v>
      </c>
    </row>
    <row r="146" spans="2:6">
      <c r="B146" s="408" t="s">
        <v>244</v>
      </c>
      <c r="C146" s="543">
        <v>878</v>
      </c>
      <c r="D146" s="543">
        <v>506</v>
      </c>
      <c r="E146" s="543">
        <v>515</v>
      </c>
      <c r="F146" s="543">
        <v>798</v>
      </c>
    </row>
    <row r="147" spans="2:6">
      <c r="B147" s="408" t="s">
        <v>245</v>
      </c>
      <c r="C147" s="543">
        <v>-1</v>
      </c>
      <c r="D147" s="543">
        <v>0</v>
      </c>
      <c r="E147" s="543">
        <v>1</v>
      </c>
      <c r="F147" s="543">
        <v>11</v>
      </c>
    </row>
    <row r="148" spans="2:6">
      <c r="B148" s="408" t="s">
        <v>246</v>
      </c>
      <c r="C148" s="543">
        <v>-59</v>
      </c>
      <c r="D148" s="543">
        <v>-91</v>
      </c>
      <c r="E148" s="543">
        <v>-129</v>
      </c>
      <c r="F148" s="543">
        <v>-151</v>
      </c>
    </row>
    <row r="149" spans="2:6">
      <c r="B149" s="408" t="s">
        <v>247</v>
      </c>
      <c r="C149" s="543">
        <v>0</v>
      </c>
      <c r="D149" s="543">
        <v>0</v>
      </c>
      <c r="E149" s="543">
        <v>0</v>
      </c>
      <c r="F149" s="543">
        <v>0</v>
      </c>
    </row>
    <row r="150" spans="2:6">
      <c r="B150" s="408" t="s">
        <v>248</v>
      </c>
      <c r="C150" s="543">
        <v>0</v>
      </c>
      <c r="D150" s="543">
        <v>0</v>
      </c>
      <c r="E150" s="543">
        <v>-107</v>
      </c>
      <c r="F150" s="543">
        <v>-100</v>
      </c>
    </row>
    <row r="151" spans="2:6">
      <c r="B151" s="408" t="s">
        <v>249</v>
      </c>
      <c r="C151" s="543">
        <v>0</v>
      </c>
      <c r="D151" s="543">
        <v>0</v>
      </c>
      <c r="E151" s="543">
        <v>-320</v>
      </c>
      <c r="F151" s="543">
        <v>-436</v>
      </c>
    </row>
    <row r="152" spans="2:6">
      <c r="B152" s="408" t="s">
        <v>250</v>
      </c>
      <c r="C152" s="543">
        <v>0</v>
      </c>
      <c r="D152" s="543">
        <v>0</v>
      </c>
      <c r="E152" s="543">
        <v>-41</v>
      </c>
      <c r="F152" s="543">
        <v>-89</v>
      </c>
    </row>
    <row r="153" spans="2:6">
      <c r="B153" s="408" t="s">
        <v>251</v>
      </c>
      <c r="C153" s="543">
        <v>0</v>
      </c>
      <c r="D153" s="543">
        <v>0</v>
      </c>
      <c r="E153" s="543">
        <v>0</v>
      </c>
      <c r="F153" s="543">
        <v>-4</v>
      </c>
    </row>
    <row r="154" spans="2:6">
      <c r="B154" s="408" t="s">
        <v>252</v>
      </c>
      <c r="C154" s="543">
        <v>1</v>
      </c>
      <c r="D154" s="543">
        <v>5</v>
      </c>
      <c r="E154" s="543">
        <v>2</v>
      </c>
      <c r="F154" s="543">
        <v>4</v>
      </c>
    </row>
    <row r="155" spans="2:6">
      <c r="B155" s="408" t="s">
        <v>253</v>
      </c>
      <c r="C155" s="543">
        <v>-323</v>
      </c>
      <c r="D155" s="543">
        <v>0</v>
      </c>
      <c r="E155" s="543">
        <v>-1</v>
      </c>
      <c r="F155" s="543">
        <v>0</v>
      </c>
    </row>
    <row r="156" spans="2:6">
      <c r="B156" s="408" t="s">
        <v>181</v>
      </c>
      <c r="C156" s="543">
        <v>10</v>
      </c>
      <c r="D156" s="543">
        <v>45</v>
      </c>
      <c r="E156" s="543">
        <v>67</v>
      </c>
      <c r="F156" s="543">
        <v>147</v>
      </c>
    </row>
    <row r="157" spans="2:6">
      <c r="B157" s="408" t="s">
        <v>254</v>
      </c>
      <c r="C157" s="543">
        <v>-391</v>
      </c>
      <c r="D157" s="543">
        <v>-524</v>
      </c>
      <c r="E157" s="543">
        <v>-220</v>
      </c>
      <c r="F157" s="543">
        <v>-262</v>
      </c>
    </row>
    <row r="158" spans="2:6">
      <c r="B158" s="408" t="s">
        <v>255</v>
      </c>
      <c r="C158" s="543">
        <v>0</v>
      </c>
      <c r="D158" s="543">
        <v>-1</v>
      </c>
      <c r="E158" s="543">
        <v>-1</v>
      </c>
      <c r="F158" s="543">
        <v>-17</v>
      </c>
    </row>
    <row r="159" spans="2:6">
      <c r="B159" s="408" t="s">
        <v>256</v>
      </c>
      <c r="C159" s="543">
        <v>25</v>
      </c>
      <c r="D159" s="543">
        <v>0</v>
      </c>
      <c r="E159" s="543">
        <v>0</v>
      </c>
      <c r="F159" s="543">
        <v>0</v>
      </c>
    </row>
    <row r="160" spans="2:6">
      <c r="B160" s="408" t="s">
        <v>257</v>
      </c>
      <c r="C160" s="543">
        <v>-1</v>
      </c>
      <c r="D160" s="543">
        <v>0</v>
      </c>
      <c r="E160" s="543">
        <v>0</v>
      </c>
      <c r="F160" s="543">
        <v>0</v>
      </c>
    </row>
    <row r="161" spans="2:12">
      <c r="B161" s="559" t="s">
        <v>258</v>
      </c>
      <c r="C161" s="560">
        <f>SUM(C139:C160)</f>
        <v>-527</v>
      </c>
      <c r="D161" s="560">
        <f t="shared" ref="D161:F161" si="23">SUM(D139:D160)</f>
        <v>-453</v>
      </c>
      <c r="E161" s="560">
        <f t="shared" si="23"/>
        <v>1092</v>
      </c>
      <c r="F161" s="560">
        <f t="shared" si="23"/>
        <v>1349</v>
      </c>
      <c r="G161" s="34"/>
      <c r="H161" s="34"/>
      <c r="I161" s="34"/>
      <c r="J161" s="34"/>
      <c r="K161" s="34">
        <f t="shared" ref="H161:L161" si="24">SUM(G139:G160)</f>
        <v>0</v>
      </c>
      <c r="L161" s="34">
        <f t="shared" si="24"/>
        <v>0</v>
      </c>
    </row>
    <row r="162" spans="2:12">
      <c r="C162" s="419"/>
      <c r="D162" s="419"/>
      <c r="E162" s="419"/>
      <c r="F162" s="419"/>
    </row>
    <row r="163" spans="2:12">
      <c r="B163" s="468" t="s">
        <v>259</v>
      </c>
      <c r="C163" s="419"/>
      <c r="D163" s="419"/>
      <c r="E163" s="419"/>
      <c r="F163" s="419"/>
    </row>
    <row r="164" spans="2:12">
      <c r="B164" s="561" t="s">
        <v>260</v>
      </c>
      <c r="C164" s="543">
        <v>-34</v>
      </c>
      <c r="D164" s="543">
        <v>-203</v>
      </c>
      <c r="E164" s="543">
        <v>-348</v>
      </c>
      <c r="F164" s="543">
        <v>-1117</v>
      </c>
    </row>
    <row r="165" spans="2:12">
      <c r="B165" s="561" t="s">
        <v>261</v>
      </c>
      <c r="C165" s="543">
        <v>-304</v>
      </c>
      <c r="D165" s="543">
        <v>-221</v>
      </c>
      <c r="E165" s="543">
        <v>-354</v>
      </c>
      <c r="F165" s="543">
        <v>-226</v>
      </c>
    </row>
    <row r="166" spans="2:12">
      <c r="B166" s="561" t="s">
        <v>262</v>
      </c>
      <c r="C166" s="543">
        <v>145</v>
      </c>
      <c r="D166" s="543">
        <v>-165</v>
      </c>
      <c r="E166" s="543">
        <v>-258</v>
      </c>
      <c r="F166" s="543">
        <v>-416</v>
      </c>
    </row>
    <row r="167" spans="2:12">
      <c r="B167" s="561" t="s">
        <v>263</v>
      </c>
      <c r="C167" s="543">
        <v>-28</v>
      </c>
      <c r="D167" s="543">
        <v>-43</v>
      </c>
      <c r="E167" s="543">
        <v>-5</v>
      </c>
      <c r="F167" s="543">
        <v>-88</v>
      </c>
    </row>
    <row r="168" spans="2:12">
      <c r="B168" s="561" t="s">
        <v>264</v>
      </c>
      <c r="C168" s="543">
        <v>48</v>
      </c>
      <c r="D168" s="543">
        <v>318</v>
      </c>
      <c r="E168" s="543">
        <v>413</v>
      </c>
      <c r="F168" s="543">
        <v>274</v>
      </c>
    </row>
    <row r="169" spans="2:12">
      <c r="B169" s="561" t="s">
        <v>265</v>
      </c>
      <c r="C169" s="543">
        <v>45</v>
      </c>
      <c r="D169" s="543">
        <v>25</v>
      </c>
      <c r="E169" s="543">
        <v>0</v>
      </c>
      <c r="F169" s="543">
        <v>21</v>
      </c>
    </row>
    <row r="170" spans="2:12">
      <c r="B170" s="561" t="s">
        <v>266</v>
      </c>
      <c r="C170" s="543">
        <v>140</v>
      </c>
      <c r="D170" s="543">
        <v>-71</v>
      </c>
      <c r="E170" s="543">
        <v>211</v>
      </c>
      <c r="F170" s="543">
        <v>629</v>
      </c>
    </row>
    <row r="171" spans="2:12">
      <c r="B171" s="408"/>
      <c r="C171" s="543"/>
      <c r="D171" s="543"/>
      <c r="E171" s="543"/>
      <c r="F171" s="543"/>
    </row>
    <row r="172" spans="2:12">
      <c r="B172" s="561" t="s">
        <v>258</v>
      </c>
      <c r="C172" s="54">
        <f>SUM(C164:C170)</f>
        <v>12</v>
      </c>
      <c r="D172" s="54">
        <f t="shared" ref="D172:F172" si="25">SUM(D164:D170)</f>
        <v>-360</v>
      </c>
      <c r="E172" s="54">
        <f t="shared" si="25"/>
        <v>-341</v>
      </c>
      <c r="F172" s="54">
        <f t="shared" si="25"/>
        <v>-923</v>
      </c>
    </row>
    <row r="173" spans="2:12">
      <c r="B173" s="562" t="s">
        <v>267</v>
      </c>
      <c r="C173" s="54">
        <f>SUM(C161,C172)</f>
        <v>-515</v>
      </c>
      <c r="D173" s="54">
        <f>SUM(D161,D172)</f>
        <v>-813</v>
      </c>
      <c r="E173" s="54">
        <f>SUM(E161,E172)</f>
        <v>751</v>
      </c>
      <c r="F173" s="54">
        <f>SUM(F161,F172)</f>
        <v>426</v>
      </c>
    </row>
    <row r="174" spans="2:12">
      <c r="B174" s="561" t="s">
        <v>268</v>
      </c>
      <c r="C174" s="54">
        <v>-19</v>
      </c>
      <c r="D174" s="54">
        <v>-31</v>
      </c>
      <c r="E174" s="54">
        <v>-105</v>
      </c>
      <c r="F174" s="54">
        <v>-118</v>
      </c>
    </row>
    <row r="175" spans="2:12">
      <c r="B175" s="563" t="s">
        <v>269</v>
      </c>
      <c r="C175" s="560">
        <f>SUM(C173:C174)</f>
        <v>-534</v>
      </c>
      <c r="D175" s="560">
        <f t="shared" ref="D175:F175" si="26">SUM(D173:D174)</f>
        <v>-844</v>
      </c>
      <c r="E175" s="560">
        <f t="shared" si="26"/>
        <v>646</v>
      </c>
      <c r="F175" s="560">
        <f t="shared" si="26"/>
        <v>308</v>
      </c>
      <c r="G175" s="34"/>
    </row>
    <row r="176" spans="2:12">
      <c r="C176" s="419"/>
      <c r="D176" s="419"/>
      <c r="E176" s="419"/>
      <c r="F176" s="419"/>
    </row>
    <row r="177" spans="2:6">
      <c r="B177" s="468" t="s">
        <v>270</v>
      </c>
      <c r="C177" s="419"/>
      <c r="D177" s="419"/>
      <c r="E177" s="419"/>
      <c r="F177" s="419"/>
    </row>
    <row r="178" spans="2:6">
      <c r="B178" s="561" t="s">
        <v>271</v>
      </c>
      <c r="C178" s="543">
        <v>-59</v>
      </c>
      <c r="D178" s="543">
        <v>-103</v>
      </c>
      <c r="E178" s="543">
        <v>-215</v>
      </c>
      <c r="F178" s="543">
        <v>-936</v>
      </c>
    </row>
    <row r="179" spans="2:6">
      <c r="B179" s="561" t="s">
        <v>272</v>
      </c>
      <c r="C179" s="543">
        <v>2</v>
      </c>
      <c r="D179" s="543">
        <v>2</v>
      </c>
      <c r="E179" s="543">
        <v>13</v>
      </c>
      <c r="F179" s="543">
        <v>5</v>
      </c>
    </row>
    <row r="180" spans="2:6">
      <c r="B180" s="561" t="s">
        <v>273</v>
      </c>
      <c r="C180" s="543">
        <v>-11714</v>
      </c>
      <c r="D180" s="543">
        <v>-5433</v>
      </c>
      <c r="E180" s="543">
        <v>-1944</v>
      </c>
      <c r="F180" s="543">
        <v>-7697</v>
      </c>
    </row>
    <row r="181" spans="2:6">
      <c r="B181" s="561" t="s">
        <v>274</v>
      </c>
      <c r="C181" s="543">
        <v>6183</v>
      </c>
      <c r="D181" s="543">
        <v>8721</v>
      </c>
      <c r="E181" s="543">
        <v>5938</v>
      </c>
      <c r="F181" s="543">
        <v>2942</v>
      </c>
    </row>
    <row r="182" spans="2:6">
      <c r="B182" s="561" t="s">
        <v>275</v>
      </c>
      <c r="C182" s="543">
        <v>4933</v>
      </c>
      <c r="D182" s="543">
        <v>12649</v>
      </c>
      <c r="E182" s="543">
        <v>29509</v>
      </c>
      <c r="F182" s="543">
        <v>46738</v>
      </c>
    </row>
    <row r="183" spans="2:6">
      <c r="B183" s="561" t="s">
        <v>276</v>
      </c>
      <c r="C183" s="543">
        <v>-4301</v>
      </c>
      <c r="D183" s="543">
        <v>-14443</v>
      </c>
      <c r="E183" s="543">
        <v>-27010</v>
      </c>
      <c r="F183" s="543">
        <v>-47326</v>
      </c>
    </row>
    <row r="184" spans="2:6">
      <c r="B184" s="561" t="s">
        <v>277</v>
      </c>
      <c r="C184" s="543">
        <v>0</v>
      </c>
      <c r="D184" s="543">
        <v>-61</v>
      </c>
      <c r="E184" s="543">
        <v>0</v>
      </c>
      <c r="F184" s="543">
        <v>-2005</v>
      </c>
    </row>
    <row r="185" spans="2:6">
      <c r="B185" s="561" t="s">
        <v>278</v>
      </c>
      <c r="C185" s="543">
        <v>-2607</v>
      </c>
      <c r="D185" s="543">
        <v>0</v>
      </c>
      <c r="E185" s="543">
        <v>0</v>
      </c>
      <c r="F185" s="543">
        <v>0</v>
      </c>
    </row>
    <row r="186" spans="2:6">
      <c r="B186" s="561" t="s">
        <v>279</v>
      </c>
      <c r="C186" s="543">
        <v>375</v>
      </c>
      <c r="D186" s="543">
        <v>0</v>
      </c>
      <c r="E186" s="543">
        <v>1</v>
      </c>
      <c r="F186" s="543">
        <v>0</v>
      </c>
    </row>
    <row r="187" spans="2:6">
      <c r="B187" s="561" t="s">
        <v>280</v>
      </c>
      <c r="C187" s="543">
        <v>-468</v>
      </c>
      <c r="D187" s="543">
        <v>-565</v>
      </c>
      <c r="E187" s="543">
        <v>-2420</v>
      </c>
      <c r="F187" s="543">
        <v>-648</v>
      </c>
    </row>
    <row r="188" spans="2:6">
      <c r="B188" s="561" t="s">
        <v>281</v>
      </c>
      <c r="C188" s="543">
        <v>0</v>
      </c>
      <c r="D188" s="543">
        <v>0</v>
      </c>
      <c r="E188" s="543">
        <v>935</v>
      </c>
      <c r="F188" s="543">
        <v>65</v>
      </c>
    </row>
    <row r="189" spans="2:6">
      <c r="B189" s="561" t="s">
        <v>282</v>
      </c>
      <c r="C189" s="543">
        <v>0</v>
      </c>
      <c r="D189" s="543">
        <v>-50</v>
      </c>
      <c r="E189" s="543">
        <v>-5772</v>
      </c>
      <c r="F189" s="543">
        <v>0</v>
      </c>
    </row>
    <row r="190" spans="2:6">
      <c r="B190" s="561" t="s">
        <v>283</v>
      </c>
      <c r="C190" s="543">
        <v>0</v>
      </c>
      <c r="D190" s="543">
        <v>0</v>
      </c>
      <c r="E190" s="543">
        <v>0</v>
      </c>
      <c r="F190" s="543">
        <v>50</v>
      </c>
    </row>
    <row r="191" spans="2:6">
      <c r="B191" s="561" t="s">
        <v>284</v>
      </c>
      <c r="C191" s="543">
        <v>-385</v>
      </c>
      <c r="D191" s="543">
        <v>-750</v>
      </c>
      <c r="E191" s="543">
        <v>0</v>
      </c>
      <c r="F191" s="543">
        <v>0</v>
      </c>
    </row>
    <row r="192" spans="2:6">
      <c r="B192" s="561" t="s">
        <v>285</v>
      </c>
      <c r="C192" s="543">
        <v>103</v>
      </c>
      <c r="D192" s="543">
        <v>490</v>
      </c>
      <c r="E192" s="543">
        <v>618</v>
      </c>
      <c r="F192" s="543">
        <v>819</v>
      </c>
    </row>
    <row r="193" spans="2:6">
      <c r="B193" s="563" t="s">
        <v>286</v>
      </c>
      <c r="C193" s="560">
        <f>SUM(C178:C192)</f>
        <v>-7938</v>
      </c>
      <c r="D193" s="560">
        <f t="shared" ref="D193:F193" si="27">SUM(D178:D192)</f>
        <v>457</v>
      </c>
      <c r="E193" s="560">
        <f t="shared" si="27"/>
        <v>-347</v>
      </c>
      <c r="F193" s="560">
        <f t="shared" si="27"/>
        <v>-7993</v>
      </c>
    </row>
    <row r="194" spans="2:6">
      <c r="B194" s="144"/>
      <c r="C194" s="419"/>
      <c r="D194" s="419"/>
      <c r="E194" s="419"/>
      <c r="F194" s="419"/>
    </row>
    <row r="195" spans="2:6">
      <c r="B195" s="468" t="s">
        <v>287</v>
      </c>
      <c r="C195" s="419"/>
      <c r="D195" s="419"/>
      <c r="E195" s="419"/>
      <c r="F195" s="419"/>
    </row>
    <row r="196" spans="2:6">
      <c r="B196" s="561" t="s">
        <v>288</v>
      </c>
      <c r="C196" s="543">
        <v>9000</v>
      </c>
      <c r="D196" s="543">
        <v>4</v>
      </c>
      <c r="E196" s="543">
        <v>23</v>
      </c>
      <c r="F196" s="543">
        <v>8501</v>
      </c>
    </row>
    <row r="197" spans="2:6">
      <c r="B197" s="561" t="s">
        <v>289</v>
      </c>
      <c r="C197" s="543">
        <v>-226</v>
      </c>
      <c r="D197" s="543">
        <v>0</v>
      </c>
      <c r="E197" s="543">
        <v>-1</v>
      </c>
      <c r="F197" s="543">
        <v>-54</v>
      </c>
    </row>
    <row r="198" spans="2:6">
      <c r="B198" s="561" t="s">
        <v>290</v>
      </c>
      <c r="C198" s="543">
        <v>-160</v>
      </c>
      <c r="D198" s="543">
        <v>-23</v>
      </c>
      <c r="E198" s="543">
        <v>-40</v>
      </c>
      <c r="F198" s="543">
        <v>0</v>
      </c>
    </row>
    <row r="199" spans="2:6">
      <c r="B199" s="561" t="s">
        <v>291</v>
      </c>
      <c r="C199" s="543">
        <v>8</v>
      </c>
      <c r="D199" s="543">
        <v>7</v>
      </c>
      <c r="E199" s="543">
        <v>9</v>
      </c>
      <c r="F199" s="543">
        <v>4</v>
      </c>
    </row>
    <row r="200" spans="2:6">
      <c r="B200" s="561" t="s">
        <v>292</v>
      </c>
      <c r="C200" s="543">
        <v>-20</v>
      </c>
      <c r="D200" s="543">
        <v>-65</v>
      </c>
      <c r="E200" s="543">
        <v>-129</v>
      </c>
      <c r="F200" s="543">
        <v>-258</v>
      </c>
    </row>
    <row r="201" spans="2:6">
      <c r="B201" s="561" t="s">
        <v>293</v>
      </c>
      <c r="C201" s="543">
        <v>-10</v>
      </c>
      <c r="D201" s="543">
        <v>-41</v>
      </c>
      <c r="E201" s="543">
        <v>-67</v>
      </c>
      <c r="F201" s="543">
        <v>-147</v>
      </c>
    </row>
    <row r="202" spans="2:6">
      <c r="B202" s="561" t="s">
        <v>294</v>
      </c>
      <c r="C202" s="543">
        <v>-1</v>
      </c>
      <c r="D202" s="543">
        <v>-9</v>
      </c>
      <c r="E202" s="543">
        <v>-2</v>
      </c>
      <c r="F202" s="543">
        <v>-4</v>
      </c>
    </row>
    <row r="203" spans="2:6">
      <c r="B203" s="563" t="s">
        <v>295</v>
      </c>
      <c r="C203" s="560">
        <f>SUM(C196:C202)</f>
        <v>8591</v>
      </c>
      <c r="D203" s="560">
        <f t="shared" ref="D203:F203" si="28">SUM(D196:D202)</f>
        <v>-127</v>
      </c>
      <c r="E203" s="560">
        <f t="shared" si="28"/>
        <v>-207</v>
      </c>
      <c r="F203" s="560">
        <f t="shared" si="28"/>
        <v>8042</v>
      </c>
    </row>
    <row r="204" spans="2:6">
      <c r="C204" s="419"/>
      <c r="D204" s="419"/>
      <c r="E204" s="419"/>
      <c r="F204" s="419"/>
    </row>
    <row r="205" spans="2:6">
      <c r="B205" s="468" t="s">
        <v>296</v>
      </c>
      <c r="C205" s="419"/>
      <c r="D205" s="419"/>
      <c r="E205" s="419"/>
      <c r="F205" s="419"/>
    </row>
    <row r="206" spans="2:6">
      <c r="B206" s="561" t="s">
        <v>297</v>
      </c>
      <c r="C206" s="543">
        <f>SUM(C175,C193,C203)</f>
        <v>119</v>
      </c>
      <c r="D206" s="543">
        <f t="shared" ref="D206:F206" si="29">SUM(D175,D193,D203)</f>
        <v>-514</v>
      </c>
      <c r="E206" s="543">
        <f t="shared" si="29"/>
        <v>92</v>
      </c>
      <c r="F206" s="543">
        <f t="shared" si="29"/>
        <v>357</v>
      </c>
    </row>
    <row r="207" spans="2:6">
      <c r="B207" s="561" t="s">
        <v>298</v>
      </c>
      <c r="C207" s="543">
        <v>0</v>
      </c>
      <c r="D207" s="543">
        <v>339</v>
      </c>
      <c r="E207" s="543">
        <v>0</v>
      </c>
      <c r="F207" s="543">
        <v>0</v>
      </c>
    </row>
    <row r="208" spans="2:6">
      <c r="B208" s="561" t="s">
        <v>299</v>
      </c>
      <c r="C208" s="543">
        <v>-6</v>
      </c>
      <c r="D208" s="543">
        <v>0</v>
      </c>
      <c r="E208" s="543">
        <v>0</v>
      </c>
      <c r="F208" s="543">
        <v>0</v>
      </c>
    </row>
    <row r="209" spans="2:6">
      <c r="B209" s="561" t="s">
        <v>300</v>
      </c>
      <c r="C209" s="543">
        <v>-33</v>
      </c>
      <c r="D209" s="543">
        <v>1</v>
      </c>
      <c r="E209" s="543">
        <v>-1</v>
      </c>
      <c r="F209" s="543">
        <v>0</v>
      </c>
    </row>
    <row r="210" spans="2:6">
      <c r="B210" s="555" t="s">
        <v>301</v>
      </c>
      <c r="C210" s="548">
        <v>312</v>
      </c>
      <c r="D210" s="548">
        <v>392</v>
      </c>
      <c r="E210" s="548">
        <v>218</v>
      </c>
      <c r="F210" s="548">
        <v>309</v>
      </c>
    </row>
    <row r="211" spans="2:6">
      <c r="B211" s="564" t="s">
        <v>302</v>
      </c>
      <c r="C211" s="565">
        <f>SUM(C206:C210)</f>
        <v>392</v>
      </c>
      <c r="D211" s="565">
        <f t="shared" ref="D211:F211" si="30">SUM(D206:D210)</f>
        <v>218</v>
      </c>
      <c r="E211" s="565">
        <f t="shared" si="30"/>
        <v>309</v>
      </c>
      <c r="F211" s="565">
        <f t="shared" si="30"/>
        <v>666</v>
      </c>
    </row>
    <row r="212" spans="2:6">
      <c r="C212" s="419"/>
      <c r="D212" s="419"/>
      <c r="E212" s="419"/>
      <c r="F212" s="419"/>
    </row>
    <row r="213" spans="2:6">
      <c r="B213" s="493" t="s">
        <v>303</v>
      </c>
      <c r="C213" s="494">
        <f>C211-C100</f>
        <v>0</v>
      </c>
      <c r="D213" s="494">
        <f>D211-D100</f>
        <v>0</v>
      </c>
      <c r="E213" s="494">
        <f>E211-E100</f>
        <v>0</v>
      </c>
      <c r="F213" s="494">
        <f>F211-F100</f>
        <v>0</v>
      </c>
    </row>
    <row r="214" spans="2:6">
      <c r="C214" s="419"/>
      <c r="D214" s="419"/>
      <c r="E214" s="419"/>
      <c r="F214" s="419"/>
    </row>
    <row r="215" spans="2:6">
      <c r="C215" s="419"/>
      <c r="D215" s="419"/>
      <c r="E215" s="419"/>
      <c r="F215" s="419"/>
    </row>
    <row r="216" spans="2:6">
      <c r="C216" s="419"/>
      <c r="D216" s="419"/>
      <c r="E216" s="419"/>
      <c r="F216" s="419"/>
    </row>
    <row r="217" spans="2:6">
      <c r="C217" s="419"/>
      <c r="D217" s="419"/>
      <c r="E217" s="419"/>
      <c r="F217" s="419"/>
    </row>
    <row r="218" spans="2:6">
      <c r="B218" s="495"/>
      <c r="C218" s="496"/>
      <c r="D218" s="496"/>
      <c r="E218" s="496"/>
      <c r="F218" s="496"/>
    </row>
    <row r="219" spans="2:6">
      <c r="C219" s="419"/>
      <c r="D219" s="419"/>
      <c r="E219" s="419"/>
      <c r="F219" s="419"/>
    </row>
    <row r="220" spans="2:6">
      <c r="B220" s="495"/>
      <c r="C220" s="496"/>
      <c r="D220" s="496"/>
      <c r="E220" s="496"/>
      <c r="F220" s="496"/>
    </row>
  </sheetData>
  <mergeCells count="3">
    <mergeCell ref="B2:F2"/>
    <mergeCell ref="B5:F5"/>
    <mergeCell ref="B83:F8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A291-1A9E-4D2C-8B2A-781C63C5D336}">
  <sheetPr>
    <tabColor rgb="FF1F4E79"/>
  </sheetPr>
  <dimension ref="A2:L228"/>
  <sheetViews>
    <sheetView showGridLines="0" workbookViewId="0">
      <pane xSplit="1" ySplit="3" topLeftCell="B34" activePane="bottomRight" state="frozen"/>
      <selection pane="bottomRight" activeCell="C51" sqref="C51"/>
      <selection pane="bottomLeft"/>
      <selection pane="topRight"/>
    </sheetView>
  </sheetViews>
  <sheetFormatPr defaultRowHeight="15"/>
  <cols>
    <col min="1" max="1" width="1.85546875" customWidth="1"/>
    <col min="2" max="2" width="43.42578125" style="462" customWidth="1"/>
    <col min="3" max="6" width="14.7109375" style="423" customWidth="1"/>
    <col min="7" max="7" width="14.140625" bestFit="1" customWidth="1"/>
  </cols>
  <sheetData>
    <row r="2" spans="1:7" ht="16.5">
      <c r="B2" s="731" t="s">
        <v>304</v>
      </c>
      <c r="C2" s="669"/>
      <c r="D2" s="669"/>
      <c r="E2" s="669"/>
      <c r="F2" s="669"/>
    </row>
    <row r="3" spans="1:7">
      <c r="B3" s="409" t="s">
        <v>127</v>
      </c>
      <c r="C3" s="410" t="s">
        <v>128</v>
      </c>
      <c r="D3" s="410" t="s">
        <v>129</v>
      </c>
      <c r="E3" s="410" t="s">
        <v>130</v>
      </c>
      <c r="F3" s="410" t="s">
        <v>131</v>
      </c>
      <c r="G3" s="1"/>
    </row>
    <row r="4" spans="1:7" s="1" customFormat="1">
      <c r="B4" s="411"/>
      <c r="C4" s="412"/>
      <c r="D4" s="412"/>
      <c r="E4" s="412"/>
      <c r="F4" s="412"/>
    </row>
    <row r="5" spans="1:7">
      <c r="A5" t="s">
        <v>132</v>
      </c>
      <c r="B5" s="727" t="s">
        <v>305</v>
      </c>
      <c r="C5" s="727"/>
      <c r="D5" s="727"/>
      <c r="E5" s="727"/>
      <c r="F5" s="727"/>
      <c r="G5" s="1"/>
    </row>
    <row r="6" spans="1:7">
      <c r="B6" s="365" t="s">
        <v>306</v>
      </c>
      <c r="C6" s="217">
        <f>'Historical Financials'!C12</f>
        <v>4193</v>
      </c>
      <c r="D6" s="217">
        <f>'Historical Financials'!D12</f>
        <v>7079</v>
      </c>
      <c r="E6" s="217">
        <f>'Historical Financials'!E12</f>
        <v>12114</v>
      </c>
      <c r="F6" s="217">
        <f>'Historical Financials'!F12</f>
        <v>20243</v>
      </c>
      <c r="G6" s="1"/>
    </row>
    <row r="7" spans="1:7" s="3" customFormat="1">
      <c r="B7" s="566" t="s">
        <v>140</v>
      </c>
      <c r="C7" s="529" t="str">
        <f>'Historical Financials'!C13</f>
        <v>-</v>
      </c>
      <c r="D7" s="529">
        <f>'Historical Financials'!D13</f>
        <v>0.68829000715478172</v>
      </c>
      <c r="E7" s="529">
        <f>'Historical Financials'!E13</f>
        <v>0.71125865235202723</v>
      </c>
      <c r="F7" s="529">
        <f>'Historical Financials'!F13</f>
        <v>0.67104176985306263</v>
      </c>
      <c r="G7" s="46"/>
    </row>
    <row r="8" spans="1:7">
      <c r="B8" s="365" t="s">
        <v>307</v>
      </c>
      <c r="C8" s="217">
        <f>'Historical Financials'!C23</f>
        <v>1870</v>
      </c>
      <c r="D8" s="217">
        <f>'Historical Financials'!D23</f>
        <v>3132</v>
      </c>
      <c r="E8" s="217">
        <f>'Historical Financials'!E23</f>
        <v>5317</v>
      </c>
      <c r="F8" s="217">
        <f>'Historical Financials'!F23</f>
        <v>8950</v>
      </c>
    </row>
    <row r="9" spans="1:7" s="3" customFormat="1">
      <c r="B9" s="566" t="s">
        <v>308</v>
      </c>
      <c r="C9" s="529">
        <f>'Historical Financials'!C24</f>
        <v>0.4459813975673742</v>
      </c>
      <c r="D9" s="529">
        <f>'Historical Financials'!D24</f>
        <v>0.44243537222771578</v>
      </c>
      <c r="E9" s="529">
        <f>'Historical Financials'!E24</f>
        <v>0.43891365362390622</v>
      </c>
      <c r="F9" s="529">
        <f>'Historical Financials'!F24</f>
        <v>0.44212814306179915</v>
      </c>
      <c r="G9" s="4"/>
    </row>
    <row r="10" spans="1:7">
      <c r="B10" s="365" t="s">
        <v>309</v>
      </c>
      <c r="C10" s="217">
        <f>'Historical Financials'!C42</f>
        <v>-973</v>
      </c>
      <c r="D10" s="217">
        <f>'Historical Financials'!D42</f>
        <v>-765</v>
      </c>
      <c r="E10" s="217">
        <f>'Historical Financials'!E42</f>
        <v>372</v>
      </c>
      <c r="F10" s="217">
        <f>'Historical Financials'!F42</f>
        <v>1079</v>
      </c>
      <c r="G10" s="14"/>
    </row>
    <row r="11" spans="1:7" s="3" customFormat="1">
      <c r="B11" s="566" t="s">
        <v>310</v>
      </c>
      <c r="C11" s="529">
        <f>'Historical Financials'!C43</f>
        <v>-0.23205342237061768</v>
      </c>
      <c r="D11" s="529">
        <f>'Historical Financials'!D43</f>
        <v>-0.10806611103263172</v>
      </c>
      <c r="E11" s="529">
        <f>'Historical Financials'!E43</f>
        <v>3.0708271421495788E-2</v>
      </c>
      <c r="F11" s="529">
        <f>'Historical Financials'!F43</f>
        <v>5.3302376130020257E-2</v>
      </c>
      <c r="G11" s="47"/>
    </row>
    <row r="12" spans="1:7">
      <c r="B12" s="365" t="s">
        <v>311</v>
      </c>
      <c r="C12" s="217">
        <f>'Historical Financials'!C59</f>
        <v>-1851</v>
      </c>
      <c r="D12" s="217">
        <f>'Historical Financials'!D59</f>
        <v>-1271</v>
      </c>
      <c r="E12" s="217">
        <f>'Historical Financials'!E59</f>
        <v>-143</v>
      </c>
      <c r="F12" s="217">
        <f>'Historical Financials'!F59</f>
        <v>281</v>
      </c>
      <c r="G12" s="14"/>
    </row>
    <row r="13" spans="1:7" s="3" customFormat="1">
      <c r="B13" s="566" t="s">
        <v>312</v>
      </c>
      <c r="C13" s="529">
        <f>'Historical Financials'!C60</f>
        <v>-0.4414500357739089</v>
      </c>
      <c r="D13" s="529">
        <f>'Historical Financials'!D60</f>
        <v>-0.17954513349343126</v>
      </c>
      <c r="E13" s="529">
        <f>'Historical Financials'!E60</f>
        <v>-1.18045236915965E-2</v>
      </c>
      <c r="F13" s="529">
        <f>'Historical Financials'!F60</f>
        <v>1.3881341698364866E-2</v>
      </c>
      <c r="G13" s="47"/>
    </row>
    <row r="14" spans="1:7">
      <c r="B14" s="365" t="s">
        <v>313</v>
      </c>
      <c r="C14" s="217">
        <f>'Historical Financials'!C61</f>
        <v>-1519</v>
      </c>
      <c r="D14" s="217">
        <f>'Historical Financials'!D61</f>
        <v>-1342</v>
      </c>
      <c r="E14" s="217">
        <f>'Historical Financials'!E61</f>
        <v>-553</v>
      </c>
      <c r="F14" s="217">
        <f>'Historical Financials'!F61</f>
        <v>216</v>
      </c>
    </row>
    <row r="15" spans="1:7" s="3" customFormat="1">
      <c r="B15" s="566" t="s">
        <v>179</v>
      </c>
      <c r="C15" s="529">
        <f>'Historical Financials'!C62</f>
        <v>-0.36227045075125208</v>
      </c>
      <c r="D15" s="529">
        <f>'Historical Financials'!D62</f>
        <v>-0.18957479870038141</v>
      </c>
      <c r="E15" s="529">
        <f>'Historical Financials'!E62</f>
        <v>-4.5649661548621427E-2</v>
      </c>
      <c r="F15" s="529">
        <f>'Historical Financials'!F62</f>
        <v>1.0670355184508226E-2</v>
      </c>
      <c r="G15" s="48"/>
    </row>
    <row r="16" spans="1:7">
      <c r="B16" s="365" t="s">
        <v>314</v>
      </c>
      <c r="C16" s="217">
        <f>'Historical Financials'!C68</f>
        <v>-1221</v>
      </c>
      <c r="D16" s="217">
        <f>'Historical Financials'!D68</f>
        <v>-1015</v>
      </c>
      <c r="E16" s="217">
        <f>'Historical Financials'!E68</f>
        <v>291</v>
      </c>
      <c r="F16" s="217">
        <f>'Historical Financials'!F68</f>
        <v>697</v>
      </c>
      <c r="G16" s="14"/>
    </row>
    <row r="17" spans="2:12" s="3" customFormat="1">
      <c r="B17" s="566" t="s">
        <v>185</v>
      </c>
      <c r="C17" s="529">
        <f>'Historical Financials'!C69</f>
        <v>-0.29119961841163844</v>
      </c>
      <c r="D17" s="529">
        <f>'Historical Financials'!D69</f>
        <v>-0.14338183359231529</v>
      </c>
      <c r="E17" s="529">
        <f>'Historical Financials'!E69</f>
        <v>2.4021792966815256E-2</v>
      </c>
      <c r="F17" s="529">
        <f>'Historical Financials'!F69</f>
        <v>3.4431655387047372E-2</v>
      </c>
    </row>
    <row r="18" spans="2:12">
      <c r="B18" s="365" t="s">
        <v>315</v>
      </c>
      <c r="C18" s="217">
        <f>'Historical Financials'!C76</f>
        <v>-1223</v>
      </c>
      <c r="D18" s="217">
        <f>'Historical Financials'!D76</f>
        <v>-971</v>
      </c>
      <c r="E18" s="217">
        <f>'Historical Financials'!E76</f>
        <v>351</v>
      </c>
      <c r="F18" s="217">
        <f>'Historical Financials'!F76</f>
        <v>527</v>
      </c>
      <c r="G18" s="18"/>
    </row>
    <row r="19" spans="2:12" s="3" customFormat="1">
      <c r="B19" s="566" t="s">
        <v>63</v>
      </c>
      <c r="C19" s="529">
        <f>'Historical Financials'!C77</f>
        <v>-0.29167660386358218</v>
      </c>
      <c r="D19" s="529">
        <f>'Historical Financials'!D77</f>
        <v>-0.13716626642181098</v>
      </c>
      <c r="E19" s="529">
        <f>'Historical Financials'!E77</f>
        <v>2.8974739970282319E-2</v>
      </c>
      <c r="F19" s="529">
        <f>'Historical Financials'!F77</f>
        <v>2.6033690658499236E-2</v>
      </c>
      <c r="G19" s="48"/>
    </row>
    <row r="20" spans="2:12">
      <c r="B20" s="567" t="s">
        <v>316</v>
      </c>
      <c r="C20" s="568">
        <f>'Historical Financials'!C79</f>
        <v>-1.6007853403141361</v>
      </c>
      <c r="D20" s="568">
        <f>'Historical Financials'!D79</f>
        <v>-1.1614832535885167</v>
      </c>
      <c r="E20" s="568">
        <f>'Historical Financials'!E79</f>
        <v>0.40437788018433179</v>
      </c>
      <c r="F20" s="568">
        <f>'Historical Financials'!F79</f>
        <v>0.58103638368246968</v>
      </c>
      <c r="G20" s="2"/>
    </row>
    <row r="21" spans="2:12">
      <c r="B21" s="567" t="s">
        <v>317</v>
      </c>
      <c r="C21" s="568">
        <f>'Historical Financials'!C80</f>
        <v>-1.67</v>
      </c>
      <c r="D21" s="568">
        <f>'Historical Financials'!D80</f>
        <v>-1.2</v>
      </c>
      <c r="E21" s="568">
        <f>'Historical Financials'!E80</f>
        <v>0.4</v>
      </c>
      <c r="F21" s="568">
        <f>'Historical Financials'!F80</f>
        <v>0.57999999999999996</v>
      </c>
      <c r="G21" s="2"/>
      <c r="H21" s="43"/>
    </row>
    <row r="22" spans="2:12">
      <c r="B22" s="569" t="s">
        <v>318</v>
      </c>
      <c r="C22" s="570">
        <f>'Historical Financials'!C113/C218</f>
        <v>21.587073138819836</v>
      </c>
      <c r="D22" s="570">
        <f>'Historical Financials'!D113/D218</f>
        <v>23.256814921090388</v>
      </c>
      <c r="E22" s="570">
        <f>'Historical Financials'!E113/E218</f>
        <v>23.509216589861751</v>
      </c>
      <c r="F22" s="570">
        <f>'Historical Financials'!F113/F218</f>
        <v>33.406811418494435</v>
      </c>
      <c r="G22" s="2"/>
    </row>
    <row r="23" spans="2:12">
      <c r="B23" s="622"/>
      <c r="C23" s="415"/>
      <c r="D23" s="415"/>
      <c r="E23" s="415"/>
      <c r="F23" s="415"/>
      <c r="G23" s="2"/>
    </row>
    <row r="24" spans="2:12">
      <c r="B24" s="416" t="s">
        <v>319</v>
      </c>
      <c r="C24" s="415"/>
      <c r="D24" s="415"/>
      <c r="E24" s="415"/>
      <c r="F24" s="415"/>
      <c r="G24" s="2"/>
    </row>
    <row r="25" spans="2:12">
      <c r="B25" s="365" t="s">
        <v>320</v>
      </c>
      <c r="C25" s="73">
        <f>'Historical Financials'!C29/'Historical Financials'!C12</f>
        <v>0.38945862151204386</v>
      </c>
      <c r="D25" s="73">
        <f>'Historical Financials'!D29/'Historical Financials'!D12</f>
        <v>0.20695013419974573</v>
      </c>
      <c r="E25" s="73">
        <f>'Historical Financials'!E29/'Historical Financials'!E12</f>
        <v>0.1369489846458643</v>
      </c>
      <c r="F25" s="73">
        <f>'Historical Financials'!F29/'Historical Financials'!F12</f>
        <v>0.12636466926838907</v>
      </c>
      <c r="G25" s="18"/>
      <c r="H25" s="18"/>
      <c r="I25" s="18"/>
      <c r="J25" s="18"/>
    </row>
    <row r="26" spans="2:12">
      <c r="B26" s="365" t="s">
        <v>321</v>
      </c>
      <c r="C26" s="73">
        <f>'Historical Financials'!C28/'Historical Financials'!C12</f>
        <v>0.20939661340329119</v>
      </c>
      <c r="D26" s="73">
        <f>'Historical Financials'!D28/'Historical Financials'!D12</f>
        <v>7.1479022460799554E-2</v>
      </c>
      <c r="E26" s="73">
        <f>'Historical Financials'!E28/'Historical Financials'!E12</f>
        <v>4.2512795113092292E-2</v>
      </c>
      <c r="F26" s="73">
        <f>'Historical Financials'!F28/'Historical Financials'!F12</f>
        <v>3.9421034431655386E-2</v>
      </c>
      <c r="G26" s="17"/>
      <c r="H26" s="17"/>
      <c r="I26" s="17"/>
      <c r="J26" s="17"/>
      <c r="K26" s="17"/>
      <c r="L26" s="17"/>
    </row>
    <row r="27" spans="2:12">
      <c r="B27" s="365" t="s">
        <v>322</v>
      </c>
      <c r="C27" s="73">
        <f>C25-C26</f>
        <v>0.18006200810875267</v>
      </c>
      <c r="D27" s="73">
        <f t="shared" ref="D27:F27" si="0">D25-D26</f>
        <v>0.13547111173894616</v>
      </c>
      <c r="E27" s="73">
        <f t="shared" si="0"/>
        <v>9.4436189532772011E-2</v>
      </c>
      <c r="F27" s="73">
        <f t="shared" si="0"/>
        <v>8.6943634836733688E-2</v>
      </c>
    </row>
    <row r="28" spans="2:12" ht="14.25" customHeight="1">
      <c r="B28" s="365" t="s">
        <v>323</v>
      </c>
      <c r="C28" s="73">
        <f>'Historical Financials'!C32/'Historical Financials'!C12</f>
        <v>0.38945862151204386</v>
      </c>
      <c r="D28" s="73">
        <f>'Historical Financials'!D32/'Historical Financials'!D12</f>
        <v>0.20695013419974573</v>
      </c>
      <c r="E28" s="73">
        <f>'Historical Financials'!E32/'Historical Financials'!E12</f>
        <v>4.342083539706125E-2</v>
      </c>
      <c r="F28" s="73">
        <f>'Historical Financials'!F32/'Historical Financials'!F12</f>
        <v>4.2632020945512029E-2</v>
      </c>
      <c r="G28" s="2"/>
    </row>
    <row r="29" spans="2:12">
      <c r="B29" s="365" t="s">
        <v>324</v>
      </c>
      <c r="C29" s="73">
        <f>'Historical Financials'!C33/'Historical Financials'!C12</f>
        <v>6.8924397805866927E-2</v>
      </c>
      <c r="D29" s="73">
        <f>'Historical Financials'!D33/'Historical Financials'!D12</f>
        <v>5.4668738522390167E-2</v>
      </c>
      <c r="E29" s="73">
        <f>'Historical Financials'!E33/'Historical Financials'!E12</f>
        <v>4.0036321611358755E-2</v>
      </c>
      <c r="F29" s="73">
        <f>'Historical Financials'!F33/'Historical Financials'!F12</f>
        <v>3.1813466383441187E-2</v>
      </c>
      <c r="G29" s="14"/>
    </row>
    <row r="30" spans="2:12">
      <c r="B30" s="365" t="s">
        <v>325</v>
      </c>
      <c r="C30" s="73">
        <f>'Historical Financials'!C21/'Historical Financials'!C12</f>
        <v>0.43262580491295016</v>
      </c>
      <c r="D30" s="73">
        <f>'Historical Financials'!D21/'Historical Financials'!D12</f>
        <v>0.3583839525356689</v>
      </c>
      <c r="E30" s="73">
        <f>'Historical Financials'!E21/'Historical Financials'!E12</f>
        <v>0.32317979197622587</v>
      </c>
      <c r="F30" s="73">
        <f>'Historical Financials'!F21/'Historical Financials'!F12</f>
        <v>0.28296201155955147</v>
      </c>
      <c r="G30" s="14"/>
    </row>
    <row r="31" spans="2:12">
      <c r="B31" s="571" t="s">
        <v>326</v>
      </c>
      <c r="C31" s="78">
        <f>'Historical Financials'!C40/'Historical Financials'!C12</f>
        <v>0.919389458621512</v>
      </c>
      <c r="D31" s="78">
        <f>'Historical Financials'!D40/'Historical Financials'!D12</f>
        <v>0.76705749399632717</v>
      </c>
      <c r="E31" s="78">
        <f>'Historical Financials'!E40/'Historical Financials'!E12</f>
        <v>0.62167739805184086</v>
      </c>
      <c r="F31" s="78">
        <f>'Historical Financials'!F40/'Historical Financials'!F12</f>
        <v>0.56725781751716642</v>
      </c>
      <c r="G31" s="14"/>
    </row>
    <row r="32" spans="2:12">
      <c r="B32" s="622"/>
      <c r="C32" s="417"/>
      <c r="D32" s="417"/>
      <c r="E32" s="417"/>
      <c r="F32" s="417"/>
      <c r="G32" s="14"/>
    </row>
    <row r="33" spans="2:9">
      <c r="B33" s="416" t="s">
        <v>327</v>
      </c>
      <c r="C33" s="415"/>
      <c r="D33" s="415"/>
      <c r="E33" s="415"/>
      <c r="F33" s="415"/>
      <c r="G33" s="18"/>
    </row>
    <row r="34" spans="2:9">
      <c r="B34" s="365" t="s">
        <v>328</v>
      </c>
      <c r="C34" s="73">
        <f>'Historical Financials'!C76/'Historical Financials'!C113</f>
        <v>-7.4125704588156857E-2</v>
      </c>
      <c r="D34" s="73">
        <f>'Historical Financials'!D76/'Historical Financials'!D113</f>
        <v>-4.9917746247172524E-2</v>
      </c>
      <c r="E34" s="73">
        <f>'Historical Financials'!E76/'Historical Financials'!E113</f>
        <v>1.7200823287268449E-2</v>
      </c>
      <c r="F34" s="73">
        <f>'Historical Financials'!F76/'Historical Financials'!F113</f>
        <v>1.7387000989772354E-2</v>
      </c>
      <c r="G34" s="18"/>
    </row>
    <row r="35" spans="2:9">
      <c r="B35" s="365" t="s">
        <v>329</v>
      </c>
      <c r="C35" s="73">
        <f>'Historical Financials'!C61/('Historical Financials'!C113+'Historical Financials'!C121)</f>
        <v>-9.1417910447761194E-2</v>
      </c>
      <c r="D35" s="73">
        <f>'Historical Financials'!D61/('Historical Financials'!D113+'Historical Financials'!D121)</f>
        <v>-6.6577367663838871E-2</v>
      </c>
      <c r="E35" s="73">
        <f>'Historical Financials'!E61/('Historical Financials'!E113+'Historical Financials'!E121)</f>
        <v>-2.5995393221454426E-2</v>
      </c>
      <c r="F35" s="73">
        <f>'Historical Financials'!F61/('Historical Financials'!F113+'Historical Financials'!F121)</f>
        <v>6.6879276713007396E-3</v>
      </c>
      <c r="G35" s="38"/>
    </row>
    <row r="36" spans="2:9">
      <c r="B36" s="365" t="s">
        <v>330</v>
      </c>
      <c r="C36" s="73">
        <f>'Historical Financials'!C12/'Historical Financials'!C107</f>
        <v>0.2419922664050326</v>
      </c>
      <c r="D36" s="73">
        <f>'Historical Financials'!D12/'Historical Financials'!D107</f>
        <v>0.32770113878344598</v>
      </c>
      <c r="E36" s="73">
        <f>'Historical Financials'!E12/'Historical Financials'!E107</f>
        <v>0.51866758006507963</v>
      </c>
      <c r="F36" s="73">
        <f>'Historical Financials'!F12/'Historical Financials'!F107</f>
        <v>0.56825646352075909</v>
      </c>
      <c r="G36" s="18"/>
    </row>
    <row r="37" spans="2:9">
      <c r="B37" s="334" t="s">
        <v>331</v>
      </c>
      <c r="C37" s="311">
        <f>ABS('Historical Financials'!C178)/'Historical Financials'!C12</f>
        <v>1.4071070832339614E-2</v>
      </c>
      <c r="D37" s="311">
        <f>ABS('Historical Financials'!D178)/'Historical Financials'!D12</f>
        <v>1.4550077694589632E-2</v>
      </c>
      <c r="E37" s="311">
        <f>ABS('Historical Financials'!E178)/'Historical Financials'!E12</f>
        <v>1.7748060095756975E-2</v>
      </c>
      <c r="F37" s="311">
        <f>ABS('Historical Financials'!F178)/'Historical Financials'!F12</f>
        <v>4.6238205799535644E-2</v>
      </c>
      <c r="G37" s="2"/>
    </row>
    <row r="38" spans="2:9">
      <c r="B38" s="571" t="s">
        <v>332</v>
      </c>
      <c r="C38" s="78">
        <f>ABS('Historical Financials'!C178)/ABS(C10)</f>
        <v>6.0637204522096609E-2</v>
      </c>
      <c r="D38" s="78">
        <f>ABS('Historical Financials'!D178)/ABS(D10)</f>
        <v>0.13464052287581699</v>
      </c>
      <c r="E38" s="78">
        <f>ABS('Historical Financials'!E178)/ABS(E10)</f>
        <v>0.57795698924731187</v>
      </c>
      <c r="F38" s="78">
        <f>ABS('Historical Financials'!F178)/ABS(F10)</f>
        <v>0.86746987951807231</v>
      </c>
      <c r="G38" s="2"/>
    </row>
    <row r="39" spans="2:9">
      <c r="B39" s="621"/>
      <c r="C39" s="419"/>
      <c r="D39" s="419"/>
      <c r="E39" s="419"/>
      <c r="F39" s="419"/>
      <c r="G39" s="2"/>
    </row>
    <row r="40" spans="2:9">
      <c r="B40" s="416" t="s">
        <v>333</v>
      </c>
      <c r="C40" s="415"/>
      <c r="D40" s="415"/>
      <c r="E40" s="415"/>
      <c r="F40" s="415"/>
      <c r="G40" s="2"/>
    </row>
    <row r="41" spans="2:9">
      <c r="B41" s="334" t="s">
        <v>334</v>
      </c>
      <c r="C41" s="545">
        <f>'Historical Financials'!C99/'Historical Financials'!C12*365</f>
        <v>1.3927975196756499</v>
      </c>
      <c r="D41" s="545">
        <f>'Historical Financials'!D99/'Historical Financials'!D12*365</f>
        <v>2.3202429721712106</v>
      </c>
      <c r="E41" s="545">
        <f>'Historical Financials'!E99/'Historical Financials'!E12*365</f>
        <v>23.471603103846785</v>
      </c>
      <c r="F41" s="545">
        <f>'Historical Financials'!F99/'Historical Financials'!F12*365</f>
        <v>35.088178629649761</v>
      </c>
      <c r="G41" s="2"/>
      <c r="I41" s="1"/>
    </row>
    <row r="42" spans="2:9">
      <c r="B42" s="334" t="s">
        <v>335</v>
      </c>
      <c r="C42" s="545">
        <f>('Historical Financials'!C125+'Historical Financials'!C126)/'Historical Financials'!C12*365</f>
        <v>37.344383496303365</v>
      </c>
      <c r="D42" s="545">
        <f>('Historical Financials'!D125+'Historical Financials'!D126)/'Historical Financials'!D12*365</f>
        <v>35.061449357253849</v>
      </c>
      <c r="E42" s="545">
        <f>('Historical Financials'!E125+'Historical Financials'!E126)/'Historical Financials'!E12*365</f>
        <v>26.695558857520226</v>
      </c>
      <c r="F42" s="545">
        <f>('Historical Financials'!F125+'Historical Financials'!F126)/'Historical Financials'!F12*365</f>
        <v>27.695499678901349</v>
      </c>
      <c r="G42" s="2"/>
    </row>
    <row r="43" spans="2:9">
      <c r="B43" s="365" t="s">
        <v>336</v>
      </c>
      <c r="C43" s="476">
        <f>'Historical Financials'!C97/'Historical Financials'!C12*365</f>
        <v>3.4819937991891248</v>
      </c>
      <c r="D43" s="476">
        <f>'Historical Financials'!D97/'Historical Financials'!D12*365</f>
        <v>4.279559259782455</v>
      </c>
      <c r="E43" s="476">
        <f>'Historical Financials'!E97/'Historical Financials'!E12*365</f>
        <v>2.6514776291893676</v>
      </c>
      <c r="F43" s="476">
        <f>'Historical Financials'!F97/'Historical Financials'!F12*365</f>
        <v>3.1734426715407795</v>
      </c>
      <c r="G43" s="14"/>
    </row>
    <row r="44" spans="2:9">
      <c r="B44" s="365" t="s">
        <v>337</v>
      </c>
      <c r="C44" s="572" t="str">
        <f>ROUND(('Historical Financials'!C175/'Historical Financials'!C76),2) &amp; "x"</f>
        <v>0.44x</v>
      </c>
      <c r="D44" s="572" t="str">
        <f>ROUND(('Historical Financials'!D175/'Historical Financials'!D76),2) &amp; "x"</f>
        <v>0.87x</v>
      </c>
      <c r="E44" s="572" t="str">
        <f>ROUND(('Historical Financials'!E175/'Historical Financials'!E76),2) &amp; "x"</f>
        <v>1.84x</v>
      </c>
      <c r="F44" s="572" t="str">
        <f>ROUND(('Historical Financials'!F175/'Historical Financials'!F76),2) &amp; "x"</f>
        <v>0.58x</v>
      </c>
      <c r="G44" s="44"/>
    </row>
    <row r="45" spans="2:9">
      <c r="B45" s="571" t="s">
        <v>338</v>
      </c>
      <c r="C45" s="573" t="str">
        <f>ROUND('Historical Financials'!C175/ABS(C10),2) &amp; "x"</f>
        <v>-0.55x</v>
      </c>
      <c r="D45" s="573" t="str">
        <f>ROUND('Historical Financials'!D175/ABS(D10),2) &amp; "x"</f>
        <v>-1.1x</v>
      </c>
      <c r="E45" s="573" t="str">
        <f>ROUND('Historical Financials'!E175/ABS(E10),2) &amp; "x"</f>
        <v>1.74x</v>
      </c>
      <c r="F45" s="573" t="str">
        <f>ROUND('Historical Financials'!F175/ABS(F10),2) &amp; "x"</f>
        <v>0.29x</v>
      </c>
    </row>
    <row r="46" spans="2:9">
      <c r="B46" s="621"/>
      <c r="C46" s="419"/>
      <c r="D46" s="419"/>
      <c r="E46" s="419"/>
      <c r="F46" s="419"/>
    </row>
    <row r="47" spans="2:9">
      <c r="B47" s="416" t="s">
        <v>339</v>
      </c>
      <c r="C47" s="415"/>
      <c r="D47" s="415"/>
      <c r="E47" s="415"/>
      <c r="F47" s="415"/>
      <c r="G47" s="2"/>
    </row>
    <row r="48" spans="2:9">
      <c r="B48" s="334" t="s">
        <v>340</v>
      </c>
      <c r="C48" s="213">
        <f>'Historical Financials'!C100</f>
        <v>392</v>
      </c>
      <c r="D48" s="213">
        <f>'Historical Financials'!D100</f>
        <v>218</v>
      </c>
      <c r="E48" s="213">
        <f>'Historical Financials'!E100</f>
        <v>309</v>
      </c>
      <c r="F48" s="213">
        <f>'Historical Financials'!F100</f>
        <v>666</v>
      </c>
      <c r="G48" s="14"/>
    </row>
    <row r="49" spans="1:7">
      <c r="B49" s="365" t="s">
        <v>341</v>
      </c>
      <c r="C49" s="261">
        <f>'Historical Financials'!C100+'Historical Financials'!C98+'Historical Financials'!C101</f>
        <v>3207</v>
      </c>
      <c r="D49" s="261">
        <f>'Historical Financials'!D100+'Historical Financials'!D98+'Historical Financials'!D101</f>
        <v>5502</v>
      </c>
      <c r="E49" s="261">
        <f>'Historical Financials'!E100+'Historical Financials'!E98+'Historical Financials'!E101</f>
        <v>2011</v>
      </c>
      <c r="F49" s="261">
        <f>'Historical Financials'!F100+'Historical Financials'!F98+'Historical Financials'!F101</f>
        <v>5886</v>
      </c>
      <c r="G49" s="2"/>
    </row>
    <row r="50" spans="1:7">
      <c r="B50" s="334" t="s">
        <v>342</v>
      </c>
      <c r="C50" s="213">
        <f>'Historical Financials'!C100+'Historical Financials'!C98+'Historical Financials'!C90+'Historical Financials'!C91-'Historical Financials'!C121-'Historical Financials'!C127</f>
        <v>10212</v>
      </c>
      <c r="D50" s="213">
        <f>'Historical Financials'!D100+'Historical Financials'!D98+'Historical Financials'!D90+'Historical Financials'!D91-'Historical Financials'!D121-'Historical Financials'!D127</f>
        <v>8047</v>
      </c>
      <c r="E50" s="213">
        <f>'Historical Financials'!E100+'Historical Financials'!E98+'Historical Financials'!E90+'Historical Financials'!E91-'Historical Financials'!E121-'Historical Financials'!E127</f>
        <v>11639</v>
      </c>
      <c r="F50" s="213">
        <f>'Historical Financials'!F100+'Historical Financials'!F98+'Historical Financials'!F90+'Historical Financials'!F91-'Historical Financials'!F121-'Historical Financials'!F127</f>
        <v>14615</v>
      </c>
      <c r="G50" s="2"/>
    </row>
    <row r="51" spans="1:7">
      <c r="B51" s="574" t="s">
        <v>343</v>
      </c>
      <c r="C51" s="575">
        <f>'Historical Financials'!C61/('Historical Financials'!C63+'Historical Financials'!C64)</f>
        <v>-63.291666666666664</v>
      </c>
      <c r="D51" s="575">
        <f>'Historical Financials'!D61/('Historical Financials'!D63+'Historical Financials'!D64)</f>
        <v>-20.646153846153847</v>
      </c>
      <c r="E51" s="575">
        <v>-6.7</v>
      </c>
      <c r="F51" s="575">
        <v>-1.5</v>
      </c>
    </row>
    <row r="52" spans="1:7" ht="17.25">
      <c r="B52" s="421"/>
      <c r="C52" s="422"/>
    </row>
    <row r="53" spans="1:7" ht="13.5" customHeight="1">
      <c r="B53" s="421"/>
      <c r="C53" s="422"/>
    </row>
    <row r="54" spans="1:7">
      <c r="A54" t="s">
        <v>132</v>
      </c>
      <c r="B54" s="732" t="s">
        <v>344</v>
      </c>
      <c r="C54" s="732"/>
      <c r="D54" s="732"/>
      <c r="E54" s="732"/>
      <c r="F54" s="732"/>
      <c r="G54" s="2"/>
    </row>
    <row r="55" spans="1:7">
      <c r="B55" s="365" t="s">
        <v>345</v>
      </c>
      <c r="C55" s="217">
        <f>'Historical Financials'!C7</f>
        <v>3415</v>
      </c>
      <c r="D55" s="217">
        <f>'Historical Financials'!D7</f>
        <v>4533</v>
      </c>
      <c r="E55" s="217">
        <f>'Historical Financials'!E7</f>
        <v>6361</v>
      </c>
      <c r="F55" s="217">
        <f>'Historical Financials'!F7</f>
        <v>8080</v>
      </c>
      <c r="G55" s="2"/>
    </row>
    <row r="56" spans="1:7">
      <c r="B56" s="365" t="s">
        <v>346</v>
      </c>
      <c r="C56" s="217" t="str">
        <f>'Historical Financials'!C8</f>
        <v>-</v>
      </c>
      <c r="D56" s="217">
        <f>'Historical Financials'!D8</f>
        <v>806</v>
      </c>
      <c r="E56" s="217">
        <f>'Historical Financials'!E8</f>
        <v>2301</v>
      </c>
      <c r="F56" s="217">
        <f>'Historical Financials'!F8</f>
        <v>5206</v>
      </c>
      <c r="G56" s="19"/>
    </row>
    <row r="57" spans="1:7">
      <c r="B57" s="365" t="s">
        <v>347</v>
      </c>
      <c r="C57" s="217">
        <f>'Historical Financials'!C9</f>
        <v>538</v>
      </c>
      <c r="D57" s="217">
        <f>'Historical Financials'!D9</f>
        <v>1506</v>
      </c>
      <c r="E57" s="217">
        <f>'Historical Financials'!E9</f>
        <v>3172</v>
      </c>
      <c r="F57" s="217">
        <f>'Historical Financials'!F9</f>
        <v>6196</v>
      </c>
    </row>
    <row r="58" spans="1:7">
      <c r="B58" s="334" t="s">
        <v>348</v>
      </c>
      <c r="C58" s="217" t="str">
        <f>'Historical Financials'!C10</f>
        <v>-</v>
      </c>
      <c r="D58" s="217" t="str">
        <f>'Historical Financials'!D10</f>
        <v>-</v>
      </c>
      <c r="E58" s="217">
        <f>'Historical Financials'!E10</f>
        <v>258</v>
      </c>
      <c r="F58" s="217">
        <f>'Historical Financials'!F10</f>
        <v>737</v>
      </c>
    </row>
    <row r="59" spans="1:7">
      <c r="B59" s="571" t="s">
        <v>169</v>
      </c>
      <c r="C59" s="217">
        <f>'Historical Financials'!C11</f>
        <v>240</v>
      </c>
      <c r="D59" s="217">
        <f>'Historical Financials'!D11</f>
        <v>234</v>
      </c>
      <c r="E59" s="217">
        <f>'Historical Financials'!E11</f>
        <v>22</v>
      </c>
      <c r="F59" s="217">
        <f>'Historical Financials'!F11</f>
        <v>24</v>
      </c>
      <c r="G59" s="2"/>
    </row>
    <row r="60" spans="1:7">
      <c r="B60" s="622"/>
      <c r="C60" s="415"/>
      <c r="D60" s="415"/>
      <c r="E60" s="415"/>
      <c r="F60" s="415"/>
      <c r="G60" s="2"/>
    </row>
    <row r="61" spans="1:7">
      <c r="B61" s="416" t="s">
        <v>349</v>
      </c>
      <c r="C61" s="415"/>
      <c r="D61" s="415"/>
      <c r="E61" s="415"/>
      <c r="F61" s="415"/>
    </row>
    <row r="62" spans="1:7">
      <c r="B62" s="334" t="s">
        <v>345</v>
      </c>
      <c r="C62" s="311" t="s">
        <v>57</v>
      </c>
      <c r="D62" s="311">
        <f>(D55-C55)/C55</f>
        <v>0.32737920937042458</v>
      </c>
      <c r="E62" s="311">
        <f t="shared" ref="E62:F62" si="1">(E55-D55)/D55</f>
        <v>0.4032649459519082</v>
      </c>
      <c r="F62" s="311">
        <f t="shared" si="1"/>
        <v>0.27024052821883354</v>
      </c>
      <c r="G62" s="14"/>
    </row>
    <row r="63" spans="1:7">
      <c r="B63" s="334" t="s">
        <v>346</v>
      </c>
      <c r="C63" s="311" t="s">
        <v>57</v>
      </c>
      <c r="D63" s="311" t="s">
        <v>57</v>
      </c>
      <c r="E63" s="311">
        <f t="shared" ref="E63:F63" si="2">(E56-D56)/D56</f>
        <v>1.8548387096774193</v>
      </c>
      <c r="F63" s="311">
        <f t="shared" si="2"/>
        <v>1.2624945675793133</v>
      </c>
      <c r="G63" s="14"/>
    </row>
    <row r="64" spans="1:7">
      <c r="B64" s="334" t="s">
        <v>347</v>
      </c>
      <c r="C64" s="311" t="s">
        <v>57</v>
      </c>
      <c r="D64" s="311">
        <f>(D57-C57)/C57</f>
        <v>1.7992565055762082</v>
      </c>
      <c r="E64" s="311">
        <f t="shared" ref="E64:F64" si="3">(E57-D57)/D57</f>
        <v>1.1062416998671978</v>
      </c>
      <c r="F64" s="311">
        <f t="shared" si="3"/>
        <v>0.95334174022698615</v>
      </c>
      <c r="G64" s="2"/>
    </row>
    <row r="65" spans="2:7">
      <c r="B65" s="571" t="s">
        <v>348</v>
      </c>
      <c r="C65" s="78" t="s">
        <v>57</v>
      </c>
      <c r="D65" s="78" t="s">
        <v>57</v>
      </c>
      <c r="E65" s="78" t="s">
        <v>57</v>
      </c>
      <c r="F65" s="78">
        <f t="shared" ref="E65:F65" si="4">(F58-E58)/E58</f>
        <v>1.8565891472868217</v>
      </c>
      <c r="G65" s="2"/>
    </row>
    <row r="66" spans="2:7">
      <c r="B66" s="622"/>
      <c r="C66" s="424"/>
      <c r="D66" s="424"/>
      <c r="E66" s="424"/>
      <c r="F66" s="424"/>
      <c r="G66" s="2"/>
    </row>
    <row r="67" spans="2:7">
      <c r="B67" s="416" t="s">
        <v>350</v>
      </c>
      <c r="C67" s="415"/>
      <c r="D67" s="415"/>
      <c r="E67" s="415"/>
      <c r="F67" s="415"/>
      <c r="G67" s="2"/>
    </row>
    <row r="68" spans="2:7">
      <c r="B68" s="622" t="s">
        <v>345</v>
      </c>
      <c r="C68" s="418">
        <f>C55/C6</f>
        <v>0.81445265919389453</v>
      </c>
      <c r="D68" s="418">
        <f t="shared" ref="D68:F68" si="5">D55/D6</f>
        <v>0.64034468145218248</v>
      </c>
      <c r="E68" s="418">
        <f t="shared" si="5"/>
        <v>0.52509493148423314</v>
      </c>
      <c r="F68" s="418">
        <f t="shared" si="5"/>
        <v>0.399150323568641</v>
      </c>
    </row>
    <row r="69" spans="2:7">
      <c r="B69" s="622" t="s">
        <v>346</v>
      </c>
      <c r="C69" s="418" t="s">
        <v>57</v>
      </c>
      <c r="D69" s="418">
        <f t="shared" ref="D69:E69" si="6">D56/D6</f>
        <v>0.11385788953241983</v>
      </c>
      <c r="E69" s="418">
        <f t="shared" si="6"/>
        <v>0.18994551758296185</v>
      </c>
      <c r="F69" s="418">
        <f>F56/F6</f>
        <v>0.25717531986365655</v>
      </c>
    </row>
    <row r="70" spans="2:7">
      <c r="B70" s="622" t="s">
        <v>347</v>
      </c>
      <c r="C70" s="418">
        <f t="shared" ref="C69:F71" si="7">C57/C8</f>
        <v>0.28770053475935831</v>
      </c>
      <c r="D70" s="418">
        <f t="shared" si="7"/>
        <v>0.48084291187739464</v>
      </c>
      <c r="E70" s="418">
        <f t="shared" si="7"/>
        <v>0.5965770171149144</v>
      </c>
      <c r="F70" s="418">
        <f t="shared" si="7"/>
        <v>0.69229050279329607</v>
      </c>
    </row>
    <row r="71" spans="2:7">
      <c r="B71" s="620" t="s">
        <v>348</v>
      </c>
      <c r="C71" s="418" t="s">
        <v>57</v>
      </c>
      <c r="D71" s="418" t="s">
        <v>57</v>
      </c>
      <c r="E71" s="418">
        <f t="shared" ref="D71:F71" si="8">E58/E6</f>
        <v>2.1297672114908371E-2</v>
      </c>
      <c r="F71" s="418">
        <f t="shared" si="8"/>
        <v>3.6407647087882231E-2</v>
      </c>
    </row>
    <row r="72" spans="2:7">
      <c r="B72" s="622"/>
      <c r="C72" s="425"/>
      <c r="D72" s="425"/>
      <c r="E72" s="425"/>
      <c r="F72" s="425"/>
    </row>
    <row r="73" spans="2:7">
      <c r="B73" s="416" t="s">
        <v>351</v>
      </c>
      <c r="C73" s="415"/>
      <c r="D73" s="415"/>
      <c r="E73" s="415"/>
      <c r="F73" s="415"/>
    </row>
    <row r="74" spans="2:7">
      <c r="B74" s="334" t="s">
        <v>345</v>
      </c>
      <c r="C74" s="213">
        <f>'Historical Financials'!C46</f>
        <v>-766</v>
      </c>
      <c r="D74" s="213">
        <f>'Historical Financials'!D46</f>
        <v>-5</v>
      </c>
      <c r="E74" s="213">
        <f>'Historical Financials'!E46</f>
        <v>912</v>
      </c>
      <c r="F74" s="213">
        <f>'Historical Financials'!F46</f>
        <v>1505</v>
      </c>
    </row>
    <row r="75" spans="2:7">
      <c r="B75" s="334" t="s">
        <v>346</v>
      </c>
      <c r="C75" s="213" t="str">
        <f>'Historical Financials'!C47</f>
        <v>-</v>
      </c>
      <c r="D75" s="213">
        <f>'Historical Financials'!D47</f>
        <v>-1016</v>
      </c>
      <c r="E75" s="213">
        <f>'Historical Financials'!E47</f>
        <v>-384</v>
      </c>
      <c r="F75" s="213">
        <f>'Historical Financials'!F47</f>
        <v>-292</v>
      </c>
    </row>
    <row r="76" spans="2:7">
      <c r="B76" s="334" t="s">
        <v>347</v>
      </c>
      <c r="C76" s="213">
        <f>'Historical Financials'!C48</f>
        <v>-139</v>
      </c>
      <c r="D76" s="213">
        <f>'Historical Financials'!D48</f>
        <v>-194</v>
      </c>
      <c r="E76" s="213">
        <f>'Historical Financials'!E48</f>
        <v>-126</v>
      </c>
      <c r="F76" s="213">
        <f>'Historical Financials'!F48</f>
        <v>-84</v>
      </c>
    </row>
    <row r="77" spans="2:7">
      <c r="B77" s="334" t="s">
        <v>348</v>
      </c>
      <c r="C77" s="213" t="str">
        <f>'Historical Financials'!C49</f>
        <v>-</v>
      </c>
      <c r="D77" s="213" t="str">
        <f>'Historical Financials'!D49</f>
        <v>-</v>
      </c>
      <c r="E77" s="213">
        <f>'Historical Financials'!E49</f>
        <v>-6</v>
      </c>
      <c r="F77" s="213">
        <f>'Historical Financials'!F49</f>
        <v>-38</v>
      </c>
    </row>
    <row r="78" spans="2:7">
      <c r="B78" s="571" t="s">
        <v>169</v>
      </c>
      <c r="C78" s="220">
        <f>'Historical Financials'!C50</f>
        <v>-68</v>
      </c>
      <c r="D78" s="220">
        <f>'Historical Financials'!D50</f>
        <v>-3</v>
      </c>
      <c r="E78" s="220">
        <f>'Historical Financials'!E50</f>
        <v>-24</v>
      </c>
      <c r="F78" s="220" t="str">
        <f>'Historical Financials'!F50</f>
        <v>-</v>
      </c>
    </row>
    <row r="79" spans="2:7">
      <c r="B79" s="622"/>
      <c r="C79" s="415"/>
      <c r="D79" s="415"/>
      <c r="E79" s="415"/>
      <c r="F79" s="415"/>
    </row>
    <row r="80" spans="2:7">
      <c r="B80" s="416" t="s">
        <v>352</v>
      </c>
      <c r="C80" s="415"/>
      <c r="D80" s="415"/>
      <c r="E80" s="415"/>
      <c r="F80" s="415"/>
    </row>
    <row r="81" spans="1:6">
      <c r="B81" s="334" t="s">
        <v>345</v>
      </c>
      <c r="C81" s="343">
        <f>C74/C55</f>
        <v>-0.22430453879941434</v>
      </c>
      <c r="D81" s="343">
        <f t="shared" ref="D81:E81" si="9">D74/D55</f>
        <v>-1.1030222810500773E-3</v>
      </c>
      <c r="E81" s="343">
        <f t="shared" si="9"/>
        <v>0.14337368338311587</v>
      </c>
      <c r="F81" s="343">
        <f>F74/F55</f>
        <v>0.18626237623762376</v>
      </c>
    </row>
    <row r="82" spans="1:6">
      <c r="B82" s="365" t="s">
        <v>346</v>
      </c>
      <c r="C82" s="363" t="s">
        <v>57</v>
      </c>
      <c r="D82" s="363">
        <f t="shared" ref="D82:F82" si="10">D75/D56</f>
        <v>-1.2605459057071959</v>
      </c>
      <c r="E82" s="363">
        <f t="shared" si="10"/>
        <v>-0.16688396349413298</v>
      </c>
      <c r="F82" s="363">
        <f t="shared" si="10"/>
        <v>-5.6089127929312331E-2</v>
      </c>
    </row>
    <row r="83" spans="1:6">
      <c r="B83" s="334" t="s">
        <v>347</v>
      </c>
      <c r="C83" s="343">
        <f>C76/C57</f>
        <v>-0.25836431226765799</v>
      </c>
      <c r="D83" s="343">
        <f t="shared" ref="D83:F83" si="11">D76/D57</f>
        <v>-0.12881806108897742</v>
      </c>
      <c r="E83" s="343">
        <f t="shared" si="11"/>
        <v>-3.9722572509457758E-2</v>
      </c>
      <c r="F83" s="343">
        <f t="shared" si="11"/>
        <v>-1.355713363460297E-2</v>
      </c>
    </row>
    <row r="84" spans="1:6">
      <c r="B84" s="574" t="s">
        <v>348</v>
      </c>
      <c r="C84" s="576" t="s">
        <v>57</v>
      </c>
      <c r="D84" s="576" t="s">
        <v>57</v>
      </c>
      <c r="E84" s="576">
        <f t="shared" ref="D84:F84" si="12">E77/E58</f>
        <v>-2.3255813953488372E-2</v>
      </c>
      <c r="F84" s="576">
        <f t="shared" si="12"/>
        <v>-5.1560379918588875E-2</v>
      </c>
    </row>
    <row r="85" spans="1:6">
      <c r="B85" s="622"/>
      <c r="C85" s="424"/>
      <c r="D85" s="424"/>
      <c r="E85" s="424"/>
      <c r="F85" s="424"/>
    </row>
    <row r="87" spans="1:6">
      <c r="A87" t="s">
        <v>132</v>
      </c>
      <c r="B87" s="732" t="s">
        <v>353</v>
      </c>
      <c r="C87" s="732"/>
      <c r="D87" s="732"/>
      <c r="E87" s="732"/>
      <c r="F87" s="732"/>
    </row>
    <row r="88" spans="1:6">
      <c r="B88" s="416" t="s">
        <v>354</v>
      </c>
      <c r="C88" s="427"/>
      <c r="D88" s="428"/>
      <c r="E88" s="428"/>
      <c r="F88" s="428"/>
    </row>
    <row r="89" spans="1:6">
      <c r="B89" s="334" t="s">
        <v>355</v>
      </c>
      <c r="C89" s="584">
        <v>21300</v>
      </c>
      <c r="D89" s="545">
        <v>26305</v>
      </c>
      <c r="E89" s="545">
        <v>32224</v>
      </c>
      <c r="F89" s="545">
        <v>38646</v>
      </c>
    </row>
    <row r="90" spans="1:6">
      <c r="B90" s="334" t="s">
        <v>356</v>
      </c>
      <c r="C90" s="584" t="s">
        <v>57</v>
      </c>
      <c r="D90" s="545">
        <v>22501</v>
      </c>
      <c r="E90" s="545">
        <v>27478</v>
      </c>
      <c r="F90" s="545">
        <v>32862</v>
      </c>
    </row>
    <row r="91" spans="1:6">
      <c r="B91" s="334" t="s">
        <v>357</v>
      </c>
      <c r="C91" s="584">
        <v>3415</v>
      </c>
      <c r="D91" s="545">
        <v>4533</v>
      </c>
      <c r="E91" s="545">
        <v>6361</v>
      </c>
      <c r="F91" s="545">
        <v>8080</v>
      </c>
    </row>
    <row r="92" spans="1:6" ht="15" customHeight="1">
      <c r="B92" s="334" t="s">
        <v>358</v>
      </c>
      <c r="C92" s="584">
        <v>4763</v>
      </c>
      <c r="D92" s="545">
        <v>6147</v>
      </c>
      <c r="E92" s="545">
        <v>7792</v>
      </c>
      <c r="F92" s="545">
        <v>9418</v>
      </c>
    </row>
    <row r="93" spans="1:6">
      <c r="B93" s="334" t="s">
        <v>359</v>
      </c>
      <c r="C93" s="585">
        <v>0.224</v>
      </c>
      <c r="D93" s="343">
        <v>0.23400000000000001</v>
      </c>
      <c r="E93" s="343">
        <v>0.24199999999999999</v>
      </c>
      <c r="F93" s="343">
        <v>0.24399999999999999</v>
      </c>
    </row>
    <row r="94" spans="1:6">
      <c r="B94" s="62" t="s">
        <v>360</v>
      </c>
      <c r="C94" s="577" t="s">
        <v>57</v>
      </c>
      <c r="D94" s="577">
        <v>0.27300000000000002</v>
      </c>
      <c r="E94" s="577">
        <v>0.28399999999999997</v>
      </c>
      <c r="F94" s="577">
        <v>0.28699999999999998</v>
      </c>
    </row>
    <row r="95" spans="1:6">
      <c r="B95" s="430"/>
      <c r="C95" s="415"/>
      <c r="D95" s="415"/>
      <c r="E95" s="415"/>
      <c r="F95" s="415"/>
    </row>
    <row r="96" spans="1:6">
      <c r="B96" s="431" t="s">
        <v>361</v>
      </c>
      <c r="C96" s="432"/>
      <c r="D96" s="415"/>
      <c r="E96" s="415"/>
      <c r="F96" s="415"/>
    </row>
    <row r="97" spans="2:6">
      <c r="B97" s="334" t="s">
        <v>362</v>
      </c>
      <c r="C97" s="584">
        <v>535</v>
      </c>
      <c r="D97" s="545">
        <v>647</v>
      </c>
      <c r="E97" s="545">
        <v>753</v>
      </c>
      <c r="F97" s="545">
        <v>853</v>
      </c>
    </row>
    <row r="98" spans="2:6">
      <c r="B98" s="334" t="s">
        <v>363</v>
      </c>
      <c r="C98" s="584">
        <v>398</v>
      </c>
      <c r="D98" s="545">
        <v>407</v>
      </c>
      <c r="E98" s="545">
        <v>428</v>
      </c>
      <c r="F98" s="545">
        <v>453</v>
      </c>
    </row>
    <row r="99" spans="2:6">
      <c r="B99" s="334" t="s">
        <v>364</v>
      </c>
      <c r="C99" s="584" t="s">
        <v>57</v>
      </c>
      <c r="D99" s="545">
        <v>348</v>
      </c>
      <c r="E99" s="545">
        <v>365</v>
      </c>
      <c r="F99" s="545">
        <v>385</v>
      </c>
    </row>
    <row r="100" spans="2:6">
      <c r="B100" s="586" t="s">
        <v>365</v>
      </c>
      <c r="C100" s="433">
        <v>14.7</v>
      </c>
      <c r="D100" s="433">
        <v>17</v>
      </c>
      <c r="E100" s="95">
        <v>18.399999999999999</v>
      </c>
      <c r="F100" s="95">
        <v>20.6</v>
      </c>
    </row>
    <row r="101" spans="2:6" ht="16.5" customHeight="1">
      <c r="B101" s="586" t="s">
        <v>366</v>
      </c>
      <c r="C101" s="584" t="s">
        <v>57</v>
      </c>
      <c r="D101" s="545">
        <v>58</v>
      </c>
      <c r="E101" s="545">
        <v>63</v>
      </c>
      <c r="F101" s="545" t="s">
        <v>367</v>
      </c>
    </row>
    <row r="102" spans="2:6">
      <c r="B102" s="586" t="s">
        <v>368</v>
      </c>
      <c r="C102" s="584" t="s">
        <v>57</v>
      </c>
      <c r="D102" s="545">
        <v>11.1</v>
      </c>
      <c r="E102" s="545">
        <v>11.9</v>
      </c>
      <c r="F102" s="545" t="s">
        <v>367</v>
      </c>
    </row>
    <row r="103" spans="2:6">
      <c r="B103" s="310" t="s">
        <v>369</v>
      </c>
      <c r="C103" s="545">
        <v>285</v>
      </c>
      <c r="D103" s="545">
        <v>326</v>
      </c>
      <c r="E103" s="545">
        <v>400</v>
      </c>
      <c r="F103" s="545">
        <v>473</v>
      </c>
    </row>
    <row r="104" spans="2:6">
      <c r="B104" s="310" t="s">
        <v>370</v>
      </c>
      <c r="C104" s="545" t="s">
        <v>57</v>
      </c>
      <c r="D104" s="545">
        <v>1196</v>
      </c>
      <c r="E104" s="545">
        <v>2225</v>
      </c>
      <c r="F104" s="545">
        <v>3092</v>
      </c>
    </row>
    <row r="105" spans="2:6">
      <c r="B105" s="219" t="s">
        <v>371</v>
      </c>
      <c r="C105" s="434"/>
      <c r="D105" s="435">
        <v>0.17199999999999999</v>
      </c>
      <c r="E105" s="436">
        <v>0.19700000000000001</v>
      </c>
      <c r="F105" s="436">
        <v>0.20899999999999999</v>
      </c>
    </row>
    <row r="106" spans="2:6">
      <c r="B106" s="212"/>
      <c r="C106" s="437"/>
      <c r="D106" s="437"/>
      <c r="E106" s="438"/>
      <c r="F106" s="438"/>
    </row>
    <row r="107" spans="2:6">
      <c r="B107" s="416" t="s">
        <v>372</v>
      </c>
      <c r="C107" s="432"/>
      <c r="D107" s="415"/>
      <c r="E107" s="415"/>
      <c r="F107" s="415"/>
    </row>
    <row r="108" spans="2:6">
      <c r="B108" s="334" t="s">
        <v>373</v>
      </c>
      <c r="C108" s="584">
        <v>180</v>
      </c>
      <c r="D108" s="545">
        <v>210</v>
      </c>
      <c r="E108" s="545">
        <v>247</v>
      </c>
      <c r="F108" s="545">
        <v>297</v>
      </c>
    </row>
    <row r="109" spans="2:6">
      <c r="B109" s="334" t="s">
        <v>374</v>
      </c>
      <c r="C109" s="584">
        <v>285</v>
      </c>
      <c r="D109" s="545">
        <v>326</v>
      </c>
      <c r="E109" s="545">
        <v>400</v>
      </c>
      <c r="F109" s="545">
        <v>473</v>
      </c>
    </row>
    <row r="110" spans="2:6">
      <c r="B110" s="571" t="s">
        <v>375</v>
      </c>
      <c r="C110" s="587" t="s">
        <v>376</v>
      </c>
      <c r="D110" s="579" t="s">
        <v>57</v>
      </c>
      <c r="E110" s="579" t="s">
        <v>57</v>
      </c>
      <c r="F110" s="579" t="s">
        <v>57</v>
      </c>
    </row>
    <row r="111" spans="2:6">
      <c r="B111" s="622"/>
      <c r="C111" s="432"/>
      <c r="D111" s="415"/>
      <c r="E111" s="415"/>
      <c r="F111" s="415"/>
    </row>
    <row r="112" spans="2:6">
      <c r="B112" s="416" t="s">
        <v>377</v>
      </c>
      <c r="C112" s="432"/>
      <c r="D112" s="415"/>
      <c r="E112" s="415"/>
      <c r="F112" s="415"/>
    </row>
    <row r="113" spans="1:6">
      <c r="B113" s="334" t="s">
        <v>370</v>
      </c>
      <c r="C113" s="584" t="s">
        <v>57</v>
      </c>
      <c r="D113" s="545">
        <v>1196</v>
      </c>
      <c r="E113" s="545">
        <v>2225</v>
      </c>
      <c r="F113" s="545">
        <v>3092</v>
      </c>
    </row>
    <row r="114" spans="1:6">
      <c r="B114" s="334" t="s">
        <v>378</v>
      </c>
      <c r="C114" s="585" t="s">
        <v>379</v>
      </c>
      <c r="D114" s="343">
        <v>5.2999999999999999E-2</v>
      </c>
      <c r="E114" s="343">
        <v>8.1000000000000003E-2</v>
      </c>
      <c r="F114" s="343">
        <v>9.4E-2</v>
      </c>
    </row>
    <row r="115" spans="1:6">
      <c r="B115" s="334" t="s">
        <v>380</v>
      </c>
      <c r="C115" s="584">
        <v>-766</v>
      </c>
      <c r="D115" s="545">
        <v>-10</v>
      </c>
      <c r="E115" s="545">
        <v>912</v>
      </c>
      <c r="F115" s="545">
        <v>1505</v>
      </c>
    </row>
    <row r="116" spans="1:6">
      <c r="B116" s="588" t="s">
        <v>381</v>
      </c>
      <c r="C116" s="440">
        <v>-3.5999999999999997E-2</v>
      </c>
      <c r="D116" s="440">
        <v>0</v>
      </c>
      <c r="E116" s="441">
        <v>3.3000000000000002E-2</v>
      </c>
      <c r="F116" s="441">
        <v>4.5999999999999999E-2</v>
      </c>
    </row>
    <row r="117" spans="1:6">
      <c r="B117" s="442"/>
      <c r="C117" s="443"/>
      <c r="D117" s="443"/>
      <c r="E117" s="444"/>
      <c r="F117" s="444"/>
    </row>
    <row r="119" spans="1:6">
      <c r="A119" t="s">
        <v>132</v>
      </c>
      <c r="B119" s="732" t="s">
        <v>382</v>
      </c>
      <c r="C119" s="732"/>
      <c r="D119" s="732"/>
      <c r="E119" s="732"/>
      <c r="F119" s="732"/>
    </row>
    <row r="120" spans="1:6">
      <c r="B120" s="445" t="s">
        <v>383</v>
      </c>
      <c r="C120" s="428"/>
      <c r="D120" s="428"/>
      <c r="E120" s="428"/>
      <c r="F120" s="428"/>
    </row>
    <row r="121" spans="1:6">
      <c r="B121" s="60" t="s">
        <v>384</v>
      </c>
      <c r="C121" s="589" t="s">
        <v>57</v>
      </c>
      <c r="D121" s="545">
        <v>6449</v>
      </c>
      <c r="E121" s="545">
        <v>12469</v>
      </c>
      <c r="F121" s="545">
        <v>28273</v>
      </c>
    </row>
    <row r="122" spans="1:6">
      <c r="B122" s="60" t="s">
        <v>385</v>
      </c>
      <c r="C122" s="589" t="s">
        <v>57</v>
      </c>
      <c r="D122" s="545">
        <v>5690</v>
      </c>
      <c r="E122" s="545">
        <v>10503</v>
      </c>
      <c r="F122" s="545">
        <v>22371</v>
      </c>
    </row>
    <row r="123" spans="1:6">
      <c r="B123" s="60" t="s">
        <v>386</v>
      </c>
      <c r="C123" s="589" t="s">
        <v>57</v>
      </c>
      <c r="D123" s="545">
        <v>806</v>
      </c>
      <c r="E123" s="545">
        <v>2301</v>
      </c>
      <c r="F123" s="545">
        <v>5206</v>
      </c>
    </row>
    <row r="124" spans="1:6">
      <c r="B124" s="62" t="s">
        <v>387</v>
      </c>
      <c r="C124" s="590" t="s">
        <v>57</v>
      </c>
      <c r="D124" s="577">
        <v>0.125</v>
      </c>
      <c r="E124" s="577">
        <v>0.185</v>
      </c>
      <c r="F124" s="577">
        <v>0.184</v>
      </c>
    </row>
    <row r="125" spans="1:6">
      <c r="B125" s="430"/>
      <c r="C125" s="428"/>
      <c r="D125" s="415"/>
      <c r="E125" s="415"/>
      <c r="F125" s="415"/>
    </row>
    <row r="126" spans="1:6">
      <c r="B126" s="445" t="s">
        <v>361</v>
      </c>
      <c r="C126" s="446"/>
      <c r="D126" s="417"/>
      <c r="E126" s="417"/>
      <c r="F126" s="417"/>
    </row>
    <row r="127" spans="1:6">
      <c r="B127" s="60" t="s">
        <v>362</v>
      </c>
      <c r="C127" s="589" t="s">
        <v>57</v>
      </c>
      <c r="D127" s="545">
        <v>119</v>
      </c>
      <c r="E127" s="545">
        <v>203</v>
      </c>
      <c r="F127" s="545">
        <v>424</v>
      </c>
    </row>
    <row r="128" spans="1:6">
      <c r="B128" s="60" t="s">
        <v>363</v>
      </c>
      <c r="C128" s="589" t="s">
        <v>57</v>
      </c>
      <c r="D128" s="545">
        <v>541</v>
      </c>
      <c r="E128" s="545">
        <v>613</v>
      </c>
      <c r="F128" s="545">
        <v>667</v>
      </c>
    </row>
    <row r="129" spans="2:6">
      <c r="B129" s="60" t="s">
        <v>364</v>
      </c>
      <c r="C129" s="589" t="s">
        <v>57</v>
      </c>
      <c r="D129" s="545">
        <v>478</v>
      </c>
      <c r="E129" s="545">
        <v>517</v>
      </c>
      <c r="F129" s="545">
        <v>528</v>
      </c>
    </row>
    <row r="130" spans="2:6">
      <c r="B130" s="62" t="s">
        <v>365</v>
      </c>
      <c r="C130" s="590" t="s">
        <v>57</v>
      </c>
      <c r="D130" s="579">
        <v>2.9</v>
      </c>
      <c r="E130" s="579">
        <v>2.9</v>
      </c>
      <c r="F130" s="579">
        <v>2.9</v>
      </c>
    </row>
    <row r="131" spans="2:6">
      <c r="B131" s="430"/>
      <c r="C131" s="428"/>
      <c r="D131" s="415"/>
      <c r="E131" s="415"/>
      <c r="F131" s="415"/>
    </row>
    <row r="132" spans="2:6">
      <c r="B132" s="445" t="s">
        <v>388</v>
      </c>
      <c r="C132" s="428"/>
      <c r="D132" s="415"/>
      <c r="E132" s="415"/>
      <c r="F132" s="415"/>
    </row>
    <row r="133" spans="2:6">
      <c r="B133" s="60" t="s">
        <v>389</v>
      </c>
      <c r="C133" s="589" t="s">
        <v>57</v>
      </c>
      <c r="D133" s="545">
        <v>377</v>
      </c>
      <c r="E133" s="545">
        <v>526</v>
      </c>
      <c r="F133" s="545">
        <v>1301</v>
      </c>
    </row>
    <row r="134" spans="2:6">
      <c r="B134" s="60" t="s">
        <v>390</v>
      </c>
      <c r="C134" s="589" t="s">
        <v>57</v>
      </c>
      <c r="D134" s="545" t="s">
        <v>57</v>
      </c>
      <c r="E134" s="545">
        <v>149</v>
      </c>
      <c r="F134" s="545">
        <v>775</v>
      </c>
    </row>
    <row r="135" spans="2:6">
      <c r="B135" s="60" t="s">
        <v>391</v>
      </c>
      <c r="C135" s="589" t="s">
        <v>57</v>
      </c>
      <c r="D135" s="545">
        <v>19</v>
      </c>
      <c r="E135" s="545">
        <v>26</v>
      </c>
      <c r="F135" s="545" t="s">
        <v>392</v>
      </c>
    </row>
    <row r="136" spans="2:6">
      <c r="B136" s="62" t="s">
        <v>393</v>
      </c>
      <c r="C136" s="590" t="s">
        <v>57</v>
      </c>
      <c r="D136" s="579">
        <v>3.7</v>
      </c>
      <c r="E136" s="579">
        <v>4.8</v>
      </c>
      <c r="F136" s="579" t="s">
        <v>394</v>
      </c>
    </row>
    <row r="137" spans="2:6">
      <c r="B137" s="430"/>
      <c r="C137" s="428"/>
      <c r="D137" s="415"/>
      <c r="E137" s="415"/>
      <c r="F137" s="415"/>
    </row>
    <row r="138" spans="2:6">
      <c r="B138" s="445" t="s">
        <v>395</v>
      </c>
      <c r="C138" s="446" t="s">
        <v>57</v>
      </c>
      <c r="D138" s="417"/>
      <c r="E138" s="417"/>
      <c r="F138" s="417"/>
    </row>
    <row r="139" spans="2:6">
      <c r="B139" s="60" t="s">
        <v>396</v>
      </c>
      <c r="C139" s="589" t="s">
        <v>57</v>
      </c>
      <c r="D139" s="545">
        <v>470</v>
      </c>
      <c r="E139" s="545">
        <v>797</v>
      </c>
      <c r="F139" s="545">
        <v>963</v>
      </c>
    </row>
    <row r="140" spans="2:6">
      <c r="B140" s="62" t="s">
        <v>397</v>
      </c>
      <c r="C140" s="590" t="s">
        <v>57</v>
      </c>
      <c r="D140" s="579">
        <v>414</v>
      </c>
      <c r="E140" s="579">
        <v>672</v>
      </c>
      <c r="F140" s="579">
        <v>766</v>
      </c>
    </row>
    <row r="141" spans="2:6">
      <c r="B141" s="430"/>
      <c r="C141" s="428"/>
      <c r="D141" s="415"/>
      <c r="E141" s="415"/>
      <c r="F141" s="415"/>
    </row>
    <row r="142" spans="2:6">
      <c r="B142" s="445" t="s">
        <v>377</v>
      </c>
      <c r="C142" s="428" t="s">
        <v>57</v>
      </c>
      <c r="D142" s="415"/>
      <c r="E142" s="415"/>
      <c r="F142" s="415"/>
    </row>
    <row r="143" spans="2:6">
      <c r="B143" s="60" t="s">
        <v>370</v>
      </c>
      <c r="C143" s="589" t="s">
        <v>57</v>
      </c>
      <c r="D143" s="545">
        <v>-445</v>
      </c>
      <c r="E143" s="545">
        <v>266</v>
      </c>
      <c r="F143" s="545">
        <v>953</v>
      </c>
    </row>
    <row r="144" spans="2:6">
      <c r="B144" s="60" t="s">
        <v>398</v>
      </c>
      <c r="C144" s="589" t="s">
        <v>57</v>
      </c>
      <c r="D144" s="343">
        <v>-7.8E-2</v>
      </c>
      <c r="E144" s="343">
        <v>2.5000000000000001E-2</v>
      </c>
      <c r="F144" s="343">
        <v>4.2999999999999997E-2</v>
      </c>
    </row>
    <row r="145" spans="1:6">
      <c r="B145" s="60" t="s">
        <v>309</v>
      </c>
      <c r="C145" s="589" t="s">
        <v>57</v>
      </c>
      <c r="D145" s="545">
        <v>-1016</v>
      </c>
      <c r="E145" s="545">
        <v>-384</v>
      </c>
      <c r="F145" s="545">
        <v>-292</v>
      </c>
    </row>
    <row r="146" spans="1:6">
      <c r="B146" s="578" t="s">
        <v>381</v>
      </c>
      <c r="C146" s="316" t="s">
        <v>57</v>
      </c>
      <c r="D146" s="576">
        <v>-0.17799999999999999</v>
      </c>
      <c r="E146" s="576">
        <v>-3.6999999999999998E-2</v>
      </c>
      <c r="F146" s="576">
        <v>-1.2999999999999999E-2</v>
      </c>
    </row>
    <row r="147" spans="1:6">
      <c r="B147" s="430"/>
      <c r="C147" s="446"/>
      <c r="D147" s="424"/>
      <c r="E147" s="424"/>
      <c r="F147" s="424"/>
    </row>
    <row r="148" spans="1:6">
      <c r="B148" s="442"/>
      <c r="C148" s="428"/>
      <c r="D148" s="415"/>
      <c r="E148" s="415"/>
      <c r="F148" s="415"/>
    </row>
    <row r="149" spans="1:6">
      <c r="A149" t="s">
        <v>132</v>
      </c>
      <c r="B149" s="728" t="s">
        <v>399</v>
      </c>
      <c r="C149" s="728"/>
      <c r="D149" s="728"/>
      <c r="E149" s="728"/>
      <c r="F149" s="728"/>
    </row>
    <row r="150" spans="1:6">
      <c r="B150" s="445" t="s">
        <v>400</v>
      </c>
      <c r="C150" s="428"/>
      <c r="D150" s="428"/>
      <c r="E150" s="428"/>
      <c r="F150" s="428"/>
    </row>
    <row r="151" spans="1:6">
      <c r="B151" s="60" t="s">
        <v>386</v>
      </c>
      <c r="C151" s="591">
        <v>538</v>
      </c>
      <c r="D151" s="591">
        <v>1506</v>
      </c>
      <c r="E151" s="591">
        <v>3172</v>
      </c>
      <c r="F151" s="591">
        <v>6196</v>
      </c>
    </row>
    <row r="152" spans="1:6">
      <c r="B152" s="62" t="s">
        <v>401</v>
      </c>
      <c r="C152" s="577">
        <v>1.7</v>
      </c>
      <c r="D152" s="577">
        <v>1.8</v>
      </c>
      <c r="E152" s="577">
        <v>1.1100000000000001</v>
      </c>
      <c r="F152" s="577">
        <v>0.95</v>
      </c>
    </row>
    <row r="153" spans="1:6">
      <c r="B153" s="430"/>
      <c r="C153" s="449"/>
      <c r="D153" s="449"/>
      <c r="E153" s="449"/>
      <c r="F153" s="449"/>
    </row>
    <row r="154" spans="1:6">
      <c r="B154" s="445" t="s">
        <v>402</v>
      </c>
      <c r="C154" s="449"/>
      <c r="D154" s="449"/>
      <c r="E154" s="449"/>
      <c r="F154" s="449"/>
    </row>
    <row r="155" spans="1:6">
      <c r="B155" s="60" t="s">
        <v>403</v>
      </c>
      <c r="C155" s="591">
        <v>51000</v>
      </c>
      <c r="D155" s="591" t="s">
        <v>57</v>
      </c>
      <c r="E155" s="591" t="s">
        <v>57</v>
      </c>
      <c r="F155" s="591" t="s">
        <v>57</v>
      </c>
    </row>
    <row r="156" spans="1:6">
      <c r="B156" s="62" t="s">
        <v>375</v>
      </c>
      <c r="C156" s="592">
        <v>10</v>
      </c>
      <c r="D156" s="592" t="s">
        <v>57</v>
      </c>
      <c r="E156" s="592" t="s">
        <v>57</v>
      </c>
      <c r="F156" s="592" t="s">
        <v>57</v>
      </c>
    </row>
    <row r="157" spans="1:6">
      <c r="B157" s="430"/>
      <c r="C157" s="450"/>
      <c r="D157" s="450"/>
      <c r="E157" s="450"/>
      <c r="F157" s="450"/>
    </row>
    <row r="158" spans="1:6">
      <c r="B158" s="445" t="s">
        <v>377</v>
      </c>
      <c r="C158" s="450"/>
      <c r="D158" s="450"/>
      <c r="E158" s="450"/>
      <c r="F158" s="450"/>
    </row>
    <row r="159" spans="1:6">
      <c r="B159" s="430" t="s">
        <v>309</v>
      </c>
      <c r="C159" s="448">
        <v>-139</v>
      </c>
      <c r="D159" s="448">
        <v>-194</v>
      </c>
      <c r="E159" s="448">
        <v>-126</v>
      </c>
      <c r="F159" s="448">
        <v>-84</v>
      </c>
    </row>
    <row r="160" spans="1:6">
      <c r="B160" s="447" t="s">
        <v>404</v>
      </c>
      <c r="C160" s="426">
        <v>-0.25800000000000001</v>
      </c>
      <c r="D160" s="426">
        <v>-0.129</v>
      </c>
      <c r="E160" s="426">
        <v>-3.9E-2</v>
      </c>
      <c r="F160" s="426">
        <v>-1.4E-2</v>
      </c>
    </row>
    <row r="161" spans="1:7">
      <c r="B161" s="430"/>
      <c r="C161" s="424"/>
      <c r="D161" s="424"/>
      <c r="E161" s="424"/>
      <c r="F161" s="424"/>
    </row>
    <row r="162" spans="1:7">
      <c r="B162" s="442"/>
      <c r="C162" s="428"/>
      <c r="D162" s="428"/>
      <c r="E162" s="428"/>
      <c r="F162" s="428"/>
    </row>
    <row r="163" spans="1:7">
      <c r="A163" t="s">
        <v>132</v>
      </c>
      <c r="B163" s="728" t="s">
        <v>405</v>
      </c>
      <c r="C163" s="728"/>
      <c r="D163" s="728"/>
      <c r="E163" s="728"/>
      <c r="F163" s="728"/>
    </row>
    <row r="164" spans="1:7">
      <c r="B164" s="445" t="s">
        <v>354</v>
      </c>
      <c r="C164" s="451"/>
      <c r="D164" s="451"/>
      <c r="E164" s="451"/>
      <c r="F164" s="451"/>
    </row>
    <row r="165" spans="1:7">
      <c r="B165" s="60" t="s">
        <v>384</v>
      </c>
      <c r="C165" s="591" t="s">
        <v>57</v>
      </c>
      <c r="D165" s="591">
        <v>1366</v>
      </c>
      <c r="E165" s="591">
        <v>3225</v>
      </c>
      <c r="F165" s="591">
        <v>7796</v>
      </c>
    </row>
    <row r="166" spans="1:7">
      <c r="B166" s="62" t="s">
        <v>385</v>
      </c>
      <c r="C166" s="592" t="s">
        <v>57</v>
      </c>
      <c r="D166" s="592">
        <v>1132</v>
      </c>
      <c r="E166" s="592">
        <v>2581</v>
      </c>
      <c r="F166" s="592">
        <v>6618</v>
      </c>
    </row>
    <row r="167" spans="1:7">
      <c r="B167" s="442"/>
      <c r="C167" s="450"/>
      <c r="D167" s="450"/>
      <c r="E167" s="450"/>
      <c r="F167" s="450"/>
    </row>
    <row r="168" spans="1:7">
      <c r="B168" s="445" t="s">
        <v>406</v>
      </c>
      <c r="C168" s="452"/>
      <c r="D168" s="452"/>
      <c r="E168" s="452"/>
      <c r="F168" s="452"/>
      <c r="G168" s="20"/>
    </row>
    <row r="169" spans="1:7">
      <c r="B169" s="60" t="s">
        <v>386</v>
      </c>
      <c r="C169" s="591" t="s">
        <v>57</v>
      </c>
      <c r="D169" s="591">
        <v>171</v>
      </c>
      <c r="E169" s="591">
        <v>258</v>
      </c>
      <c r="F169" s="591">
        <v>737</v>
      </c>
    </row>
    <row r="170" spans="1:7">
      <c r="B170" s="60" t="s">
        <v>309</v>
      </c>
      <c r="C170" s="591" t="s">
        <v>57</v>
      </c>
      <c r="D170" s="591">
        <v>-13</v>
      </c>
      <c r="E170" s="591">
        <v>-6</v>
      </c>
      <c r="F170" s="591">
        <v>-38</v>
      </c>
    </row>
    <row r="171" spans="1:7">
      <c r="B171" s="62" t="s">
        <v>381</v>
      </c>
      <c r="C171" s="592" t="s">
        <v>57</v>
      </c>
      <c r="D171" s="577">
        <v>-1.0999999999999999E-2</v>
      </c>
      <c r="E171" s="577">
        <v>-2E-3</v>
      </c>
      <c r="F171" s="577">
        <v>-6.0000000000000001E-3</v>
      </c>
    </row>
    <row r="172" spans="1:7">
      <c r="B172" s="453"/>
      <c r="C172" s="449"/>
      <c r="D172" s="425"/>
      <c r="E172" s="425"/>
      <c r="F172" s="425"/>
    </row>
    <row r="173" spans="1:7">
      <c r="B173" s="445" t="s">
        <v>407</v>
      </c>
      <c r="C173" s="454"/>
      <c r="D173" s="449"/>
      <c r="E173" s="449"/>
      <c r="F173" s="449"/>
    </row>
    <row r="174" spans="1:7">
      <c r="B174" s="60" t="s">
        <v>408</v>
      </c>
      <c r="C174" s="729" t="s">
        <v>409</v>
      </c>
      <c r="D174" s="729"/>
      <c r="E174" s="729"/>
      <c r="F174" s="729"/>
    </row>
    <row r="175" spans="1:7">
      <c r="B175" s="578" t="s">
        <v>410</v>
      </c>
      <c r="C175" s="730">
        <v>0.307</v>
      </c>
      <c r="D175" s="730"/>
      <c r="E175" s="730"/>
      <c r="F175" s="730"/>
    </row>
    <row r="176" spans="1:7">
      <c r="B176" s="430"/>
      <c r="C176" s="455"/>
      <c r="D176" s="449"/>
      <c r="E176" s="456"/>
      <c r="F176" s="449"/>
    </row>
    <row r="177" spans="1:6">
      <c r="B177" s="442"/>
      <c r="C177" s="449"/>
      <c r="D177" s="449"/>
      <c r="E177" s="449"/>
      <c r="F177" s="449"/>
    </row>
    <row r="178" spans="1:6">
      <c r="A178" t="s">
        <v>132</v>
      </c>
      <c r="B178" s="728" t="s">
        <v>411</v>
      </c>
      <c r="C178" s="728"/>
      <c r="D178" s="728"/>
      <c r="E178" s="728"/>
      <c r="F178" s="728"/>
    </row>
    <row r="179" spans="1:6">
      <c r="B179" s="445" t="s">
        <v>412</v>
      </c>
      <c r="C179" s="457"/>
      <c r="D179" s="457"/>
      <c r="E179" s="457"/>
      <c r="F179" s="457"/>
    </row>
    <row r="180" spans="1:6">
      <c r="B180" s="60" t="s">
        <v>413</v>
      </c>
      <c r="C180" s="545">
        <v>1209</v>
      </c>
      <c r="D180" s="545">
        <v>4717</v>
      </c>
      <c r="E180" s="545">
        <v>4717</v>
      </c>
      <c r="F180" s="545">
        <v>5737</v>
      </c>
    </row>
    <row r="181" spans="1:6">
      <c r="B181" s="60" t="s">
        <v>414</v>
      </c>
      <c r="C181" s="343">
        <v>7.0000000000000007E-2</v>
      </c>
      <c r="D181" s="343">
        <v>0.218</v>
      </c>
      <c r="E181" s="343">
        <v>0.20200000000000001</v>
      </c>
      <c r="F181" s="343">
        <v>0.161</v>
      </c>
    </row>
    <row r="182" spans="1:6">
      <c r="B182" s="60" t="s">
        <v>415</v>
      </c>
      <c r="C182" s="343">
        <v>7.2999999999999995E-2</v>
      </c>
      <c r="D182" s="343">
        <v>0.24199999999999999</v>
      </c>
      <c r="E182" s="343">
        <v>0.23100000000000001</v>
      </c>
      <c r="F182" s="343">
        <v>0.189</v>
      </c>
    </row>
    <row r="183" spans="1:6">
      <c r="B183" s="62" t="s">
        <v>416</v>
      </c>
      <c r="C183" s="579" t="s">
        <v>57</v>
      </c>
      <c r="D183" s="579" t="s">
        <v>57</v>
      </c>
      <c r="E183" s="579" t="s">
        <v>417</v>
      </c>
      <c r="F183" s="579" t="s">
        <v>418</v>
      </c>
    </row>
    <row r="184" spans="1:6">
      <c r="B184" s="453"/>
      <c r="C184" s="417"/>
      <c r="D184" s="417"/>
      <c r="E184" s="417"/>
      <c r="F184" s="417"/>
    </row>
    <row r="185" spans="1:6">
      <c r="B185" s="445" t="s">
        <v>419</v>
      </c>
      <c r="C185" s="458"/>
      <c r="D185" s="458"/>
      <c r="E185" s="458"/>
      <c r="F185" s="458"/>
    </row>
    <row r="186" spans="1:6">
      <c r="B186" s="60" t="s">
        <v>420</v>
      </c>
      <c r="C186" s="545">
        <v>64</v>
      </c>
      <c r="D186" s="545">
        <v>427</v>
      </c>
      <c r="E186" s="545">
        <v>690</v>
      </c>
      <c r="F186" s="545">
        <v>1918</v>
      </c>
    </row>
    <row r="187" spans="1:6">
      <c r="B187" s="60" t="s">
        <v>421</v>
      </c>
      <c r="C187" s="545">
        <v>71</v>
      </c>
      <c r="D187" s="545">
        <v>466</v>
      </c>
      <c r="E187" s="545">
        <v>746</v>
      </c>
      <c r="F187" s="545">
        <v>2045</v>
      </c>
    </row>
    <row r="188" spans="1:6">
      <c r="B188" s="60" t="s">
        <v>422</v>
      </c>
      <c r="C188" s="343">
        <v>4.0000000000000001E-3</v>
      </c>
      <c r="D188" s="343">
        <v>0.02</v>
      </c>
      <c r="E188" s="343">
        <v>0.03</v>
      </c>
      <c r="F188" s="343">
        <v>5.3999999999999999E-2</v>
      </c>
    </row>
    <row r="189" spans="1:6">
      <c r="B189" s="62" t="s">
        <v>423</v>
      </c>
      <c r="C189" s="577">
        <v>8.5999999999999993E-2</v>
      </c>
      <c r="D189" s="577">
        <v>0.217</v>
      </c>
      <c r="E189" s="577">
        <v>0.253</v>
      </c>
      <c r="F189" s="577">
        <v>0.38500000000000001</v>
      </c>
    </row>
    <row r="190" spans="1:6">
      <c r="B190" s="442"/>
      <c r="C190" s="415"/>
      <c r="D190" s="415"/>
      <c r="E190" s="415"/>
      <c r="F190" s="415"/>
    </row>
    <row r="191" spans="1:6">
      <c r="B191" s="445" t="s">
        <v>424</v>
      </c>
      <c r="C191" s="458"/>
      <c r="D191" s="458"/>
      <c r="E191" s="458"/>
      <c r="F191" s="458"/>
    </row>
    <row r="192" spans="1:6">
      <c r="B192" s="430" t="s">
        <v>425</v>
      </c>
      <c r="C192" s="417">
        <v>20</v>
      </c>
      <c r="D192" s="417">
        <v>65</v>
      </c>
      <c r="E192" s="417">
        <v>129</v>
      </c>
      <c r="F192" s="417">
        <v>258</v>
      </c>
    </row>
    <row r="193" spans="1:6">
      <c r="B193" s="430" t="s">
        <v>426</v>
      </c>
      <c r="C193" s="417">
        <v>10</v>
      </c>
      <c r="D193" s="417">
        <v>41</v>
      </c>
      <c r="E193" s="417">
        <v>67</v>
      </c>
      <c r="F193" s="417">
        <v>147</v>
      </c>
    </row>
    <row r="194" spans="1:6">
      <c r="B194" s="430" t="s">
        <v>427</v>
      </c>
      <c r="C194" s="417">
        <v>30</v>
      </c>
      <c r="D194" s="417">
        <v>106</v>
      </c>
      <c r="E194" s="417">
        <v>196</v>
      </c>
      <c r="F194" s="417">
        <v>405</v>
      </c>
    </row>
    <row r="195" spans="1:6">
      <c r="B195" s="429" t="s">
        <v>428</v>
      </c>
      <c r="C195" s="439">
        <v>23</v>
      </c>
      <c r="D195" s="439">
        <v>93</v>
      </c>
      <c r="E195" s="439">
        <v>159</v>
      </c>
      <c r="F195" s="439">
        <v>329</v>
      </c>
    </row>
    <row r="196" spans="1:6">
      <c r="B196" s="442"/>
      <c r="C196" s="415"/>
      <c r="D196" s="415"/>
      <c r="E196" s="415"/>
      <c r="F196" s="415"/>
    </row>
    <row r="197" spans="1:6">
      <c r="B197" s="445" t="s">
        <v>429</v>
      </c>
      <c r="C197" s="458"/>
      <c r="D197" s="458"/>
      <c r="E197" s="458"/>
      <c r="F197" s="458"/>
    </row>
    <row r="198" spans="1:6">
      <c r="B198" s="430" t="s">
        <v>430</v>
      </c>
      <c r="C198" s="417">
        <v>3.6</v>
      </c>
      <c r="D198" s="417">
        <v>7.2</v>
      </c>
      <c r="E198" s="417">
        <v>5.8</v>
      </c>
      <c r="F198" s="417">
        <v>7.9</v>
      </c>
    </row>
    <row r="199" spans="1:6">
      <c r="B199" s="447" t="s">
        <v>431</v>
      </c>
      <c r="C199" s="459" t="s">
        <v>57</v>
      </c>
      <c r="D199" s="459" t="s">
        <v>57</v>
      </c>
      <c r="E199" s="459" t="s">
        <v>432</v>
      </c>
      <c r="F199" s="459" t="s">
        <v>433</v>
      </c>
    </row>
    <row r="200" spans="1:6">
      <c r="B200" s="442"/>
      <c r="C200" s="446"/>
      <c r="D200" s="446"/>
      <c r="E200" s="446"/>
      <c r="F200" s="446"/>
    </row>
    <row r="201" spans="1:6">
      <c r="B201" s="442"/>
      <c r="C201" s="428"/>
      <c r="D201" s="428"/>
      <c r="E201" s="428"/>
      <c r="F201" s="428"/>
    </row>
    <row r="202" spans="1:6">
      <c r="A202" t="s">
        <v>132</v>
      </c>
      <c r="B202" s="728" t="s">
        <v>434</v>
      </c>
      <c r="C202" s="728"/>
      <c r="D202" s="728"/>
      <c r="E202" s="728"/>
      <c r="F202" s="728"/>
    </row>
    <row r="203" spans="1:6">
      <c r="B203" s="442"/>
      <c r="C203" s="428"/>
      <c r="D203" s="428"/>
      <c r="E203" s="428"/>
      <c r="F203" s="428"/>
    </row>
    <row r="204" spans="1:6">
      <c r="B204" s="445" t="s">
        <v>435</v>
      </c>
      <c r="C204" s="457"/>
      <c r="D204" s="457"/>
      <c r="E204" s="457"/>
      <c r="F204" s="457"/>
    </row>
    <row r="205" spans="1:6">
      <c r="B205" s="60" t="s">
        <v>436</v>
      </c>
      <c r="C205" s="545">
        <v>3086</v>
      </c>
      <c r="D205" s="545">
        <v>2280</v>
      </c>
      <c r="E205" s="545">
        <v>10365</v>
      </c>
      <c r="F205" s="545">
        <v>10920</v>
      </c>
    </row>
    <row r="206" spans="1:6">
      <c r="B206" s="62" t="s">
        <v>341</v>
      </c>
      <c r="C206" s="579">
        <v>6293</v>
      </c>
      <c r="D206" s="579">
        <v>7782</v>
      </c>
      <c r="E206" s="579">
        <v>12376</v>
      </c>
      <c r="F206" s="579">
        <v>16806</v>
      </c>
    </row>
    <row r="207" spans="1:6">
      <c r="B207" s="442"/>
      <c r="C207" s="415"/>
      <c r="D207" s="415"/>
      <c r="E207" s="415"/>
      <c r="F207" s="415"/>
    </row>
    <row r="208" spans="1:6">
      <c r="B208" s="445" t="s">
        <v>437</v>
      </c>
      <c r="C208" s="458"/>
      <c r="D208" s="458"/>
      <c r="E208" s="458"/>
      <c r="F208" s="458"/>
    </row>
    <row r="209" spans="1:6">
      <c r="B209" s="60" t="s">
        <v>438</v>
      </c>
      <c r="C209" s="545">
        <v>495</v>
      </c>
      <c r="D209" s="545">
        <v>682</v>
      </c>
      <c r="E209" s="545">
        <v>847</v>
      </c>
      <c r="F209" s="545">
        <v>1077</v>
      </c>
    </row>
    <row r="210" spans="1:6">
      <c r="B210" s="62" t="s">
        <v>439</v>
      </c>
      <c r="C210" s="577" t="s">
        <v>57</v>
      </c>
      <c r="D210" s="577">
        <v>9.5000000000000001E-2</v>
      </c>
      <c r="E210" s="577">
        <v>8.4000000000000005E-2</v>
      </c>
      <c r="F210" s="577">
        <v>6.9000000000000006E-2</v>
      </c>
    </row>
    <row r="211" spans="1:6">
      <c r="B211" s="442"/>
      <c r="C211" s="415"/>
      <c r="D211" s="415"/>
      <c r="E211" s="415"/>
      <c r="F211" s="415"/>
    </row>
    <row r="212" spans="1:6">
      <c r="B212" s="445" t="s">
        <v>440</v>
      </c>
      <c r="C212" s="458"/>
      <c r="D212" s="458"/>
      <c r="E212" s="458"/>
      <c r="F212" s="458"/>
    </row>
    <row r="213" spans="1:6">
      <c r="B213" s="60" t="s">
        <v>441</v>
      </c>
      <c r="C213" s="343" t="s">
        <v>57</v>
      </c>
      <c r="D213" s="343" t="s">
        <v>57</v>
      </c>
      <c r="E213" s="343">
        <v>2.911</v>
      </c>
      <c r="F213" s="343">
        <v>1.5449999999999999</v>
      </c>
    </row>
    <row r="214" spans="1:6">
      <c r="B214" s="578" t="s">
        <v>442</v>
      </c>
      <c r="C214" s="576">
        <v>0.106</v>
      </c>
      <c r="D214" s="576">
        <v>8.7999999999999995E-2</v>
      </c>
      <c r="E214" s="576">
        <v>6.5000000000000002E-2</v>
      </c>
      <c r="F214" s="576">
        <v>5.0999999999999997E-2</v>
      </c>
    </row>
    <row r="215" spans="1:6">
      <c r="B215" s="430"/>
      <c r="C215" s="417"/>
      <c r="D215" s="417"/>
      <c r="E215" s="417"/>
      <c r="F215" s="417"/>
    </row>
    <row r="216" spans="1:6">
      <c r="B216" s="442"/>
      <c r="C216" s="428"/>
      <c r="D216" s="428"/>
      <c r="E216" s="428"/>
      <c r="F216" s="428"/>
    </row>
    <row r="217" spans="1:6">
      <c r="A217" t="s">
        <v>132</v>
      </c>
      <c r="B217" s="728" t="s">
        <v>443</v>
      </c>
      <c r="C217" s="728"/>
      <c r="D217" s="728"/>
      <c r="E217" s="728"/>
      <c r="F217" s="728"/>
    </row>
    <row r="218" spans="1:6">
      <c r="B218" s="93" t="s">
        <v>444</v>
      </c>
      <c r="C218" s="580">
        <v>764.3</v>
      </c>
      <c r="D218" s="580">
        <v>836.4</v>
      </c>
      <c r="E218" s="580">
        <v>868</v>
      </c>
      <c r="F218" s="580">
        <v>907.3</v>
      </c>
    </row>
    <row r="219" spans="1:6">
      <c r="B219" s="93" t="s">
        <v>445</v>
      </c>
      <c r="C219" s="580">
        <v>722.8</v>
      </c>
      <c r="D219" s="580">
        <v>810.1</v>
      </c>
      <c r="E219" s="580">
        <v>849.3</v>
      </c>
      <c r="F219" s="580">
        <v>882.9</v>
      </c>
    </row>
    <row r="220" spans="1:6">
      <c r="B220" s="93" t="s">
        <v>446</v>
      </c>
      <c r="C220" s="580">
        <v>722.8</v>
      </c>
      <c r="D220" s="580">
        <v>810.1</v>
      </c>
      <c r="E220" s="580">
        <v>875.5</v>
      </c>
      <c r="F220" s="580">
        <v>913.6</v>
      </c>
    </row>
    <row r="221" spans="1:6">
      <c r="B221" s="581" t="s">
        <v>318</v>
      </c>
      <c r="C221" s="582">
        <v>21.6</v>
      </c>
      <c r="D221" s="582">
        <v>23.3</v>
      </c>
      <c r="E221" s="582">
        <v>23.5</v>
      </c>
      <c r="F221" s="582">
        <v>33.4</v>
      </c>
    </row>
    <row r="222" spans="1:6" s="20" customFormat="1">
      <c r="B222" s="460"/>
      <c r="C222" s="428"/>
      <c r="D222" s="428"/>
      <c r="E222" s="428"/>
      <c r="F222" s="428"/>
    </row>
    <row r="223" spans="1:6">
      <c r="B223" s="442"/>
      <c r="C223" s="428"/>
      <c r="D223" s="428"/>
      <c r="E223" s="428"/>
      <c r="F223" s="428"/>
    </row>
    <row r="224" spans="1:6">
      <c r="B224" s="728" t="s">
        <v>447</v>
      </c>
      <c r="C224" s="728"/>
      <c r="D224" s="728"/>
      <c r="E224" s="728"/>
      <c r="F224" s="728"/>
    </row>
    <row r="225" spans="2:6">
      <c r="B225" s="93" t="s">
        <v>448</v>
      </c>
      <c r="C225" s="545">
        <v>4204</v>
      </c>
      <c r="D225" s="545">
        <v>6173</v>
      </c>
      <c r="E225" s="545">
        <v>8244</v>
      </c>
      <c r="F225" s="545">
        <v>16868</v>
      </c>
    </row>
    <row r="226" spans="2:6">
      <c r="B226" s="93" t="s">
        <v>449</v>
      </c>
      <c r="C226" s="343">
        <v>0.114</v>
      </c>
      <c r="D226" s="343">
        <v>0.46800000000000003</v>
      </c>
      <c r="E226" s="343">
        <v>0.33600000000000002</v>
      </c>
      <c r="F226" s="343">
        <v>1.046</v>
      </c>
    </row>
    <row r="227" spans="2:6">
      <c r="B227" s="93" t="s">
        <v>450</v>
      </c>
      <c r="C227" s="580">
        <v>1</v>
      </c>
      <c r="D227" s="580">
        <v>1.1499999999999999</v>
      </c>
      <c r="E227" s="580">
        <v>1.47</v>
      </c>
      <c r="F227" s="580">
        <v>1.2</v>
      </c>
    </row>
    <row r="228" spans="2:6">
      <c r="B228" s="581" t="s">
        <v>451</v>
      </c>
      <c r="C228" s="583">
        <v>388.4</v>
      </c>
      <c r="D228" s="583">
        <v>237.4</v>
      </c>
      <c r="E228" s="583">
        <v>201.2</v>
      </c>
      <c r="F228" s="583">
        <v>151.69999999999999</v>
      </c>
    </row>
  </sheetData>
  <mergeCells count="13">
    <mergeCell ref="B149:F149"/>
    <mergeCell ref="B2:F2"/>
    <mergeCell ref="B5:F5"/>
    <mergeCell ref="B54:F54"/>
    <mergeCell ref="B87:F87"/>
    <mergeCell ref="B119:F119"/>
    <mergeCell ref="B163:F163"/>
    <mergeCell ref="B178:F178"/>
    <mergeCell ref="B202:F202"/>
    <mergeCell ref="B217:F217"/>
    <mergeCell ref="B224:F224"/>
    <mergeCell ref="C174:F174"/>
    <mergeCell ref="C175:F17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7BAFE-F123-45A6-B2E2-3664DF586DE4}">
  <sheetPr>
    <tabColor rgb="FFE85D24"/>
  </sheetPr>
  <dimension ref="A2:N229"/>
  <sheetViews>
    <sheetView showGridLines="0" workbookViewId="0">
      <pane xSplit="1" ySplit="5" topLeftCell="B218" activePane="bottomRight" state="frozen"/>
      <selection pane="bottomRight" activeCell="B228" sqref="B228:I228"/>
      <selection pane="bottomLeft"/>
      <selection pane="topRight"/>
    </sheetView>
  </sheetViews>
  <sheetFormatPr defaultRowHeight="15"/>
  <cols>
    <col min="1" max="1" width="1.85546875" customWidth="1"/>
    <col min="2" max="2" width="39.140625" style="71" customWidth="1"/>
    <col min="3" max="3" width="10" style="71" customWidth="1"/>
    <col min="4" max="4" width="11.28515625" style="322" customWidth="1"/>
    <col min="5" max="8" width="13.7109375" style="322" customWidth="1"/>
    <col min="9" max="9" width="51" style="323" customWidth="1"/>
    <col min="10" max="12" width="9.140625" style="323"/>
  </cols>
  <sheetData>
    <row r="2" spans="1:13" ht="16.5">
      <c r="B2" s="733" t="s">
        <v>452</v>
      </c>
      <c r="C2" s="733"/>
      <c r="D2" s="733"/>
      <c r="E2" s="733"/>
      <c r="F2" s="733"/>
      <c r="G2" s="733"/>
      <c r="H2" s="733"/>
      <c r="I2" s="733"/>
      <c r="J2" s="733"/>
      <c r="K2" s="733"/>
      <c r="L2" s="733"/>
    </row>
    <row r="3" spans="1:13">
      <c r="B3" s="71" t="s">
        <v>453</v>
      </c>
      <c r="C3" s="53" t="s">
        <v>454</v>
      </c>
    </row>
    <row r="4" spans="1:13" hidden="1">
      <c r="B4" s="71">
        <f>MATCH(TRIM(C3),{"Bear Case","Base Case","Bull Case"},0)</f>
        <v>2</v>
      </c>
    </row>
    <row r="5" spans="1:13">
      <c r="B5" s="324" t="s">
        <v>455</v>
      </c>
      <c r="C5" s="325" t="s">
        <v>453</v>
      </c>
      <c r="D5" s="326" t="s">
        <v>50</v>
      </c>
      <c r="E5" s="326" t="s">
        <v>51</v>
      </c>
      <c r="F5" s="326" t="s">
        <v>52</v>
      </c>
      <c r="G5" s="327" t="s">
        <v>53</v>
      </c>
      <c r="H5" s="327" t="s">
        <v>54</v>
      </c>
      <c r="I5" s="736" t="s">
        <v>456</v>
      </c>
      <c r="J5" s="736"/>
      <c r="K5" s="736"/>
      <c r="L5" s="736"/>
    </row>
    <row r="6" spans="1:13" s="1" customFormat="1">
      <c r="B6" s="328"/>
      <c r="C6" s="329"/>
      <c r="D6" s="330"/>
      <c r="E6" s="330"/>
      <c r="F6" s="330"/>
      <c r="G6" s="331"/>
      <c r="H6" s="331"/>
      <c r="I6" s="79"/>
      <c r="J6" s="79"/>
      <c r="K6" s="79"/>
      <c r="L6" s="79"/>
    </row>
    <row r="7" spans="1:13">
      <c r="A7" t="s">
        <v>132</v>
      </c>
      <c r="B7" s="732" t="s">
        <v>457</v>
      </c>
      <c r="C7" s="732"/>
      <c r="D7" s="732"/>
      <c r="E7" s="732"/>
      <c r="F7" s="732"/>
      <c r="G7" s="732"/>
      <c r="H7" s="732"/>
      <c r="I7" s="732"/>
      <c r="J7" s="732"/>
      <c r="K7" s="732"/>
      <c r="L7" s="732"/>
    </row>
    <row r="8" spans="1:13">
      <c r="B8" s="93" t="s">
        <v>458</v>
      </c>
      <c r="C8" s="332" t="s">
        <v>459</v>
      </c>
      <c r="D8" s="270"/>
      <c r="E8" s="333">
        <v>0.13</v>
      </c>
      <c r="F8" s="333">
        <v>0.15</v>
      </c>
      <c r="G8" s="333">
        <v>0.14000000000000001</v>
      </c>
      <c r="H8" s="333">
        <v>0.12</v>
      </c>
      <c r="I8" s="334"/>
      <c r="J8" s="335"/>
      <c r="K8" s="335"/>
      <c r="L8" s="335"/>
    </row>
    <row r="9" spans="1:13">
      <c r="B9" s="93"/>
      <c r="C9" s="332" t="s">
        <v>460</v>
      </c>
      <c r="D9" s="270"/>
      <c r="E9" s="333">
        <v>0.18</v>
      </c>
      <c r="F9" s="333">
        <v>0.2</v>
      </c>
      <c r="G9" s="333">
        <v>0.19</v>
      </c>
      <c r="H9" s="333">
        <v>0.17</v>
      </c>
      <c r="I9" s="334"/>
      <c r="J9" s="335"/>
      <c r="K9" s="335"/>
      <c r="L9" s="335"/>
    </row>
    <row r="10" spans="1:13">
      <c r="B10" s="93"/>
      <c r="C10" s="332" t="s">
        <v>461</v>
      </c>
      <c r="D10" s="270"/>
      <c r="E10" s="333">
        <v>0.23</v>
      </c>
      <c r="F10" s="333">
        <v>0.25</v>
      </c>
      <c r="G10" s="333">
        <v>0.22</v>
      </c>
      <c r="H10" s="333">
        <v>0.2</v>
      </c>
      <c r="I10" s="334"/>
      <c r="J10" s="335"/>
      <c r="K10" s="335"/>
      <c r="L10" s="335"/>
    </row>
    <row r="11" spans="1:13">
      <c r="B11" s="77" t="s">
        <v>458</v>
      </c>
      <c r="C11" s="336" t="s">
        <v>462</v>
      </c>
      <c r="D11" s="337"/>
      <c r="E11" s="338">
        <f>IF($B$4=1,E8,IF($B$4=2,E9,E10))</f>
        <v>0.18</v>
      </c>
      <c r="F11" s="338">
        <f t="shared" ref="F11:H11" si="0">IF($B$4=1,F8,IF($B$4=2,F9,F10))</f>
        <v>0.2</v>
      </c>
      <c r="G11" s="338">
        <f t="shared" si="0"/>
        <v>0.19</v>
      </c>
      <c r="H11" s="338">
        <f t="shared" si="0"/>
        <v>0.17</v>
      </c>
      <c r="I11" s="734" t="s">
        <v>463</v>
      </c>
      <c r="J11" s="734"/>
      <c r="K11" s="734"/>
      <c r="L11" s="734"/>
      <c r="M11" s="22"/>
    </row>
    <row r="12" spans="1:13">
      <c r="B12" s="104"/>
      <c r="C12" s="339"/>
      <c r="D12" s="340"/>
      <c r="E12" s="341"/>
      <c r="F12" s="341"/>
      <c r="G12" s="341"/>
      <c r="H12" s="341"/>
      <c r="I12" s="342"/>
    </row>
    <row r="13" spans="1:13">
      <c r="B13" s="93" t="s">
        <v>464</v>
      </c>
      <c r="C13" s="332" t="s">
        <v>459</v>
      </c>
      <c r="D13" s="343">
        <v>0.20899999999999999</v>
      </c>
      <c r="E13" s="333">
        <v>0.20499999999999999</v>
      </c>
      <c r="F13" s="333">
        <v>0.21</v>
      </c>
      <c r="G13" s="333">
        <v>0.215</v>
      </c>
      <c r="H13" s="333">
        <v>0.215</v>
      </c>
      <c r="I13" s="334"/>
      <c r="J13" s="335"/>
      <c r="K13" s="335"/>
      <c r="L13" s="335"/>
    </row>
    <row r="14" spans="1:13">
      <c r="B14" s="93"/>
      <c r="C14" s="332" t="s">
        <v>460</v>
      </c>
      <c r="D14" s="270"/>
      <c r="E14" s="333">
        <v>0.215</v>
      </c>
      <c r="F14" s="333">
        <v>0.22</v>
      </c>
      <c r="G14" s="333">
        <v>0.22500000000000001</v>
      </c>
      <c r="H14" s="333">
        <v>0.22500000000000001</v>
      </c>
      <c r="I14" s="334"/>
      <c r="J14" s="335"/>
      <c r="K14" s="335"/>
      <c r="L14" s="335"/>
    </row>
    <row r="15" spans="1:13">
      <c r="B15" s="93"/>
      <c r="C15" s="332" t="s">
        <v>461</v>
      </c>
      <c r="D15" s="270"/>
      <c r="E15" s="333">
        <v>0.22</v>
      </c>
      <c r="F15" s="333">
        <v>0.22500000000000001</v>
      </c>
      <c r="G15" s="333">
        <v>0.23</v>
      </c>
      <c r="H15" s="333">
        <v>0.23499999999999999</v>
      </c>
      <c r="I15" s="334"/>
      <c r="J15" s="335"/>
      <c r="K15" s="335"/>
      <c r="L15" s="335"/>
    </row>
    <row r="16" spans="1:13">
      <c r="B16" s="77" t="s">
        <v>464</v>
      </c>
      <c r="C16" s="336" t="s">
        <v>462</v>
      </c>
      <c r="D16" s="344">
        <f>D13</f>
        <v>0.20899999999999999</v>
      </c>
      <c r="E16" s="338">
        <f>IF($B$4=1,E13,IF($B$4=2,E14,E15))</f>
        <v>0.215</v>
      </c>
      <c r="F16" s="338">
        <f t="shared" ref="F16:H16" si="1">IF($B$4=1,F13,IF($B$4=2,F14,F15))</f>
        <v>0.22</v>
      </c>
      <c r="G16" s="338">
        <f t="shared" si="1"/>
        <v>0.22500000000000001</v>
      </c>
      <c r="H16" s="338">
        <f t="shared" si="1"/>
        <v>0.22500000000000001</v>
      </c>
      <c r="I16" s="735" t="s">
        <v>465</v>
      </c>
      <c r="J16" s="735"/>
      <c r="K16" s="735"/>
      <c r="L16" s="735"/>
    </row>
    <row r="17" spans="2:12">
      <c r="B17" s="104"/>
      <c r="C17" s="339"/>
      <c r="D17" s="345"/>
      <c r="E17" s="341"/>
      <c r="F17" s="341"/>
      <c r="G17" s="341"/>
      <c r="H17" s="341"/>
      <c r="I17" s="346"/>
    </row>
    <row r="18" spans="2:12">
      <c r="B18" s="93" t="s">
        <v>466</v>
      </c>
      <c r="C18" s="332" t="s">
        <v>459</v>
      </c>
      <c r="D18" s="343">
        <v>4.5999999999999999E-2</v>
      </c>
      <c r="E18" s="333">
        <v>4.8000000000000001E-2</v>
      </c>
      <c r="F18" s="333">
        <v>0.05</v>
      </c>
      <c r="G18" s="333">
        <v>5.1999999999999998E-2</v>
      </c>
      <c r="H18" s="333">
        <v>5.2999999999999999E-2</v>
      </c>
      <c r="I18" s="334"/>
      <c r="J18" s="335"/>
      <c r="K18" s="335"/>
      <c r="L18" s="335"/>
    </row>
    <row r="19" spans="2:12">
      <c r="B19" s="93"/>
      <c r="C19" s="332" t="s">
        <v>460</v>
      </c>
      <c r="D19" s="347"/>
      <c r="E19" s="333">
        <v>5.1999999999999998E-2</v>
      </c>
      <c r="F19" s="333">
        <v>5.5E-2</v>
      </c>
      <c r="G19" s="333">
        <v>5.7000000000000002E-2</v>
      </c>
      <c r="H19" s="333">
        <v>5.8000000000000003E-2</v>
      </c>
      <c r="I19" s="334"/>
      <c r="J19" s="335"/>
      <c r="K19" s="335"/>
      <c r="L19" s="335"/>
    </row>
    <row r="20" spans="2:12">
      <c r="B20" s="93"/>
      <c r="C20" s="332" t="s">
        <v>461</v>
      </c>
      <c r="D20" s="347"/>
      <c r="E20" s="333">
        <v>5.6000000000000001E-2</v>
      </c>
      <c r="F20" s="333">
        <v>5.8000000000000003E-2</v>
      </c>
      <c r="G20" s="333">
        <v>0.06</v>
      </c>
      <c r="H20" s="333">
        <v>0.06</v>
      </c>
      <c r="I20" s="334"/>
      <c r="J20" s="335"/>
      <c r="K20" s="335"/>
      <c r="L20" s="335"/>
    </row>
    <row r="21" spans="2:12">
      <c r="B21" s="77" t="s">
        <v>466</v>
      </c>
      <c r="C21" s="336" t="s">
        <v>462</v>
      </c>
      <c r="D21" s="344">
        <f>D18</f>
        <v>4.5999999999999999E-2</v>
      </c>
      <c r="E21" s="338">
        <f>IF($B$4=1,E18,IF($B$4=2,E19,E20))</f>
        <v>5.1999999999999998E-2</v>
      </c>
      <c r="F21" s="338">
        <f t="shared" ref="F21:H21" si="2">IF($B$4=1,F18,IF($B$4=2,F19,F20))</f>
        <v>5.5E-2</v>
      </c>
      <c r="G21" s="338">
        <f t="shared" si="2"/>
        <v>5.7000000000000002E-2</v>
      </c>
      <c r="H21" s="338">
        <f t="shared" si="2"/>
        <v>5.8000000000000003E-2</v>
      </c>
      <c r="I21" s="735" t="s">
        <v>467</v>
      </c>
      <c r="J21" s="735"/>
      <c r="K21" s="735"/>
      <c r="L21" s="735"/>
    </row>
    <row r="22" spans="2:12">
      <c r="B22" s="104"/>
      <c r="C22" s="348"/>
      <c r="D22" s="349"/>
      <c r="E22" s="350"/>
      <c r="F22" s="350"/>
      <c r="G22" s="350"/>
      <c r="H22" s="350"/>
      <c r="I22" s="346"/>
      <c r="J22" s="346"/>
      <c r="K22" s="346"/>
      <c r="L22" s="346"/>
    </row>
    <row r="23" spans="2:12">
      <c r="B23" s="93" t="s">
        <v>468</v>
      </c>
      <c r="C23" s="332" t="s">
        <v>459</v>
      </c>
      <c r="D23" s="351">
        <v>20.6</v>
      </c>
      <c r="E23" s="352">
        <v>21.5</v>
      </c>
      <c r="F23" s="352">
        <v>23</v>
      </c>
      <c r="G23" s="352">
        <v>24.5</v>
      </c>
      <c r="H23" s="352">
        <v>26</v>
      </c>
      <c r="I23" s="334"/>
      <c r="J23" s="335"/>
      <c r="K23" s="335"/>
      <c r="L23" s="335"/>
    </row>
    <row r="24" spans="2:12">
      <c r="B24" s="93"/>
      <c r="C24" s="332" t="s">
        <v>460</v>
      </c>
      <c r="D24" s="353"/>
      <c r="E24" s="352">
        <v>22.5</v>
      </c>
      <c r="F24" s="352">
        <v>24.5</v>
      </c>
      <c r="G24" s="352">
        <v>26.5</v>
      </c>
      <c r="H24" s="352">
        <v>28.5</v>
      </c>
      <c r="I24" s="334"/>
      <c r="J24" s="335"/>
      <c r="K24" s="335"/>
      <c r="L24" s="335"/>
    </row>
    <row r="25" spans="2:12">
      <c r="B25" s="93"/>
      <c r="C25" s="332" t="s">
        <v>461</v>
      </c>
      <c r="D25" s="353"/>
      <c r="E25" s="352">
        <v>23.5</v>
      </c>
      <c r="F25" s="352">
        <v>26</v>
      </c>
      <c r="G25" s="352">
        <v>28.5</v>
      </c>
      <c r="H25" s="352">
        <v>31</v>
      </c>
      <c r="I25" s="334"/>
      <c r="J25" s="335"/>
      <c r="K25" s="335"/>
      <c r="L25" s="335"/>
    </row>
    <row r="26" spans="2:12">
      <c r="B26" s="77" t="s">
        <v>468</v>
      </c>
      <c r="C26" s="336" t="s">
        <v>462</v>
      </c>
      <c r="D26" s="354">
        <f>D23</f>
        <v>20.6</v>
      </c>
      <c r="E26" s="355">
        <f>IF($B$4=1,E23,IF($B$4=2,E24,E25))</f>
        <v>22.5</v>
      </c>
      <c r="F26" s="355">
        <f t="shared" ref="F26:H26" si="3">IF($B$4=1,F23,IF($B$4=2,F24,F25))</f>
        <v>24.5</v>
      </c>
      <c r="G26" s="355">
        <f t="shared" si="3"/>
        <v>26.5</v>
      </c>
      <c r="H26" s="355">
        <f t="shared" si="3"/>
        <v>28.5</v>
      </c>
      <c r="I26" s="735" t="s">
        <v>469</v>
      </c>
      <c r="J26" s="735"/>
      <c r="K26" s="735"/>
      <c r="L26" s="735"/>
    </row>
    <row r="27" spans="2:12">
      <c r="B27" s="75"/>
      <c r="C27" s="348"/>
      <c r="D27" s="356"/>
      <c r="E27" s="357"/>
      <c r="F27" s="357"/>
      <c r="G27" s="357"/>
      <c r="H27" s="357"/>
      <c r="I27" s="358"/>
      <c r="J27" s="358"/>
      <c r="K27" s="358"/>
      <c r="L27" s="358"/>
    </row>
    <row r="28" spans="2:12">
      <c r="B28" s="93" t="s">
        <v>470</v>
      </c>
      <c r="C28" s="332" t="s">
        <v>459</v>
      </c>
      <c r="D28" s="351">
        <v>453</v>
      </c>
      <c r="E28" s="352">
        <v>468</v>
      </c>
      <c r="F28" s="352">
        <v>487</v>
      </c>
      <c r="G28" s="352">
        <v>507</v>
      </c>
      <c r="H28" s="352">
        <v>527</v>
      </c>
      <c r="I28" s="334"/>
      <c r="J28" s="335"/>
      <c r="K28" s="335"/>
      <c r="L28" s="335"/>
    </row>
    <row r="29" spans="2:12">
      <c r="B29" s="93"/>
      <c r="C29" s="332" t="s">
        <v>460</v>
      </c>
      <c r="D29" s="353"/>
      <c r="E29" s="352">
        <v>473</v>
      </c>
      <c r="F29" s="352">
        <v>493</v>
      </c>
      <c r="G29" s="352">
        <v>514</v>
      </c>
      <c r="H29" s="352">
        <v>536</v>
      </c>
      <c r="I29" s="334"/>
      <c r="J29" s="335"/>
      <c r="K29" s="335"/>
      <c r="L29" s="335"/>
    </row>
    <row r="30" spans="2:12">
      <c r="B30" s="93"/>
      <c r="C30" s="332" t="s">
        <v>461</v>
      </c>
      <c r="D30" s="353"/>
      <c r="E30" s="352">
        <v>478</v>
      </c>
      <c r="F30" s="352">
        <v>500</v>
      </c>
      <c r="G30" s="352">
        <v>522</v>
      </c>
      <c r="H30" s="352">
        <v>545</v>
      </c>
      <c r="I30" s="334"/>
      <c r="J30" s="335"/>
      <c r="K30" s="335"/>
      <c r="L30" s="335"/>
    </row>
    <row r="31" spans="2:12">
      <c r="B31" s="77" t="s">
        <v>470</v>
      </c>
      <c r="C31" s="336" t="s">
        <v>462</v>
      </c>
      <c r="D31" s="354">
        <f>D28</f>
        <v>453</v>
      </c>
      <c r="E31" s="355">
        <f>IF($B$4=1,E28,IF($B$4=2,E29,E30))</f>
        <v>473</v>
      </c>
      <c r="F31" s="355">
        <f t="shared" ref="F31:H31" si="4">IF($B$4=1,F28,IF($B$4=2,F29,F30))</f>
        <v>493</v>
      </c>
      <c r="G31" s="355">
        <f t="shared" si="4"/>
        <v>514</v>
      </c>
      <c r="H31" s="355">
        <f t="shared" si="4"/>
        <v>536</v>
      </c>
      <c r="I31" s="735" t="s">
        <v>471</v>
      </c>
      <c r="J31" s="735"/>
      <c r="K31" s="735"/>
      <c r="L31" s="735"/>
    </row>
    <row r="34" spans="1:14" ht="15" customHeight="1">
      <c r="A34" t="s">
        <v>132</v>
      </c>
      <c r="B34" s="732" t="s">
        <v>472</v>
      </c>
      <c r="C34" s="732"/>
      <c r="D34" s="732"/>
      <c r="E34" s="732"/>
      <c r="F34" s="732"/>
      <c r="G34" s="732"/>
      <c r="H34" s="732"/>
      <c r="I34" s="732"/>
      <c r="J34" s="732"/>
      <c r="K34" s="732"/>
      <c r="L34" s="732"/>
    </row>
    <row r="35" spans="1:14">
      <c r="B35" s="93" t="s">
        <v>473</v>
      </c>
      <c r="C35" s="332" t="s">
        <v>459</v>
      </c>
      <c r="D35" s="343">
        <v>1.1299999999999999</v>
      </c>
      <c r="E35" s="333">
        <v>0.35</v>
      </c>
      <c r="F35" s="333">
        <v>0.35</v>
      </c>
      <c r="G35" s="333">
        <v>0.25</v>
      </c>
      <c r="H35" s="333">
        <v>0.15</v>
      </c>
      <c r="I35" s="334"/>
      <c r="M35" s="5"/>
    </row>
    <row r="36" spans="1:14">
      <c r="B36" s="93"/>
      <c r="C36" s="332" t="s">
        <v>460</v>
      </c>
      <c r="D36" s="347"/>
      <c r="E36" s="333">
        <v>0.5</v>
      </c>
      <c r="F36" s="333">
        <v>0.5</v>
      </c>
      <c r="G36" s="333">
        <v>0.35</v>
      </c>
      <c r="H36" s="333">
        <v>0.2</v>
      </c>
      <c r="I36" s="334"/>
      <c r="M36" s="5"/>
    </row>
    <row r="37" spans="1:14">
      <c r="B37" s="93"/>
      <c r="C37" s="332" t="s">
        <v>461</v>
      </c>
      <c r="D37" s="347"/>
      <c r="E37" s="333">
        <v>0.9</v>
      </c>
      <c r="F37" s="333">
        <v>0.65</v>
      </c>
      <c r="G37" s="333">
        <v>0.45</v>
      </c>
      <c r="H37" s="333">
        <v>0.28000000000000003</v>
      </c>
      <c r="I37" s="334"/>
      <c r="M37" s="5"/>
    </row>
    <row r="38" spans="1:14">
      <c r="B38" s="77" t="s">
        <v>473</v>
      </c>
      <c r="C38" s="336" t="s">
        <v>462</v>
      </c>
      <c r="D38" s="344">
        <f>D35</f>
        <v>1.1299999999999999</v>
      </c>
      <c r="E38" s="338">
        <f>IF($B$4=1,E35,IF($B$4=2,E36,E37))</f>
        <v>0.5</v>
      </c>
      <c r="F38" s="338">
        <f>IF($B$4=1,F35,IF($B$4=2,F36,F37))</f>
        <v>0.5</v>
      </c>
      <c r="G38" s="338">
        <f t="shared" ref="F38:H38" si="5">IF($B$4=1,G35,IF($B$4=2,G36,G37))</f>
        <v>0.35</v>
      </c>
      <c r="H38" s="338">
        <f t="shared" si="5"/>
        <v>0.2</v>
      </c>
      <c r="I38" s="735" t="s">
        <v>474</v>
      </c>
      <c r="J38" s="735"/>
      <c r="K38" s="735"/>
      <c r="L38" s="735"/>
      <c r="M38" s="5"/>
    </row>
    <row r="39" spans="1:14">
      <c r="B39" s="75"/>
      <c r="C39" s="348"/>
      <c r="D39" s="359"/>
      <c r="E39" s="360"/>
      <c r="F39" s="360"/>
      <c r="G39" s="360"/>
      <c r="H39" s="360"/>
      <c r="I39" s="361"/>
      <c r="M39" s="5"/>
    </row>
    <row r="40" spans="1:14">
      <c r="B40" s="71" t="s">
        <v>475</v>
      </c>
      <c r="C40" s="362" t="s">
        <v>459</v>
      </c>
      <c r="D40" s="363">
        <v>0.23300000000000001</v>
      </c>
      <c r="E40" s="364">
        <v>0.22500000000000001</v>
      </c>
      <c r="F40" s="364">
        <v>0.23</v>
      </c>
      <c r="G40" s="364">
        <v>0.23499999999999999</v>
      </c>
      <c r="H40" s="364">
        <v>0.24</v>
      </c>
      <c r="I40" s="365"/>
      <c r="M40" s="5"/>
    </row>
    <row r="41" spans="1:14">
      <c r="C41" s="362" t="s">
        <v>460</v>
      </c>
      <c r="D41" s="67"/>
      <c r="E41" s="364">
        <v>0.23499999999999999</v>
      </c>
      <c r="F41" s="364">
        <v>0.24</v>
      </c>
      <c r="G41" s="364">
        <v>0.245</v>
      </c>
      <c r="H41" s="364">
        <v>0.25</v>
      </c>
      <c r="I41" s="365"/>
      <c r="M41" s="5"/>
    </row>
    <row r="42" spans="1:14">
      <c r="C42" s="362" t="s">
        <v>461</v>
      </c>
      <c r="D42" s="67"/>
      <c r="E42" s="364">
        <v>0.24</v>
      </c>
      <c r="F42" s="364">
        <v>0.25</v>
      </c>
      <c r="G42" s="364">
        <v>0.26</v>
      </c>
      <c r="H42" s="364">
        <v>0.27</v>
      </c>
      <c r="I42" s="365"/>
      <c r="M42" s="5"/>
    </row>
    <row r="43" spans="1:14">
      <c r="B43" s="77" t="s">
        <v>475</v>
      </c>
      <c r="C43" s="336" t="s">
        <v>462</v>
      </c>
      <c r="D43" s="344">
        <f>D40</f>
        <v>0.23300000000000001</v>
      </c>
      <c r="E43" s="338">
        <f>IF($B$4=1,E40,IF($B$4=2,E41,E42))</f>
        <v>0.23499999999999999</v>
      </c>
      <c r="F43" s="338">
        <f t="shared" ref="F43:H43" si="6">IF($B$4=1,F40,IF($B$4=2,F41,F42))</f>
        <v>0.24</v>
      </c>
      <c r="G43" s="338">
        <f t="shared" si="6"/>
        <v>0.245</v>
      </c>
      <c r="H43" s="338">
        <f t="shared" si="6"/>
        <v>0.25</v>
      </c>
      <c r="I43" s="735" t="s">
        <v>476</v>
      </c>
      <c r="J43" s="735"/>
      <c r="K43" s="735"/>
      <c r="L43" s="735"/>
      <c r="M43" s="5"/>
    </row>
    <row r="44" spans="1:14">
      <c r="B44" s="104"/>
      <c r="C44" s="348"/>
      <c r="D44" s="366"/>
      <c r="E44" s="367"/>
      <c r="F44" s="367"/>
      <c r="G44" s="367"/>
      <c r="H44" s="367"/>
      <c r="I44" s="346"/>
      <c r="M44" s="5"/>
    </row>
    <row r="45" spans="1:14">
      <c r="B45" s="71" t="s">
        <v>477</v>
      </c>
      <c r="C45" s="362" t="s">
        <v>459</v>
      </c>
      <c r="D45" s="67"/>
      <c r="E45" s="364">
        <v>0</v>
      </c>
      <c r="F45" s="364">
        <v>5.0000000000000001E-3</v>
      </c>
      <c r="G45" s="364">
        <v>1.4999999999999999E-2</v>
      </c>
      <c r="H45" s="364">
        <v>2.5000000000000001E-2</v>
      </c>
      <c r="I45" s="365"/>
      <c r="M45" s="5"/>
    </row>
    <row r="46" spans="1:14">
      <c r="C46" s="362" t="s">
        <v>460</v>
      </c>
      <c r="D46" s="67"/>
      <c r="E46" s="364">
        <v>0.01</v>
      </c>
      <c r="F46" s="364">
        <v>0.02</v>
      </c>
      <c r="G46" s="364">
        <v>3.5000000000000003E-2</v>
      </c>
      <c r="H46" s="364">
        <v>4.4999999999999998E-2</v>
      </c>
      <c r="I46" s="365"/>
      <c r="M46" s="5"/>
    </row>
    <row r="47" spans="1:14">
      <c r="B47" s="93"/>
      <c r="C47" s="332" t="s">
        <v>461</v>
      </c>
      <c r="D47" s="347"/>
      <c r="E47" s="333">
        <v>2.5000000000000001E-2</v>
      </c>
      <c r="F47" s="333">
        <v>0.04</v>
      </c>
      <c r="G47" s="333">
        <v>5.5E-2</v>
      </c>
      <c r="H47" s="333">
        <v>6.5000000000000002E-2</v>
      </c>
      <c r="I47" s="334"/>
      <c r="J47" s="335"/>
      <c r="K47" s="335"/>
      <c r="L47" s="335"/>
      <c r="M47" s="21"/>
      <c r="N47" s="20"/>
    </row>
    <row r="48" spans="1:14" ht="15" customHeight="1">
      <c r="B48" s="77" t="s">
        <v>477</v>
      </c>
      <c r="C48" s="336" t="s">
        <v>462</v>
      </c>
      <c r="D48" s="368"/>
      <c r="E48" s="338">
        <f>IF($B$4=1,E45,IF($B$4=2,E46,E47))</f>
        <v>0.01</v>
      </c>
      <c r="F48" s="338">
        <f t="shared" ref="F48:H48" si="7">IF($B$4=1,F45,IF($B$4=2,F46,F47))</f>
        <v>0.02</v>
      </c>
      <c r="G48" s="338">
        <f t="shared" si="7"/>
        <v>3.5000000000000003E-2</v>
      </c>
      <c r="H48" s="338">
        <f t="shared" si="7"/>
        <v>4.4999999999999998E-2</v>
      </c>
      <c r="I48" s="735" t="s">
        <v>478</v>
      </c>
      <c r="J48" s="735"/>
      <c r="K48" s="735"/>
      <c r="L48" s="735"/>
      <c r="M48" s="23"/>
      <c r="N48" s="23"/>
    </row>
    <row r="49" spans="2:14">
      <c r="B49" s="104"/>
      <c r="C49" s="348"/>
      <c r="E49" s="350"/>
      <c r="F49" s="350"/>
      <c r="G49" s="350"/>
      <c r="H49" s="350"/>
      <c r="I49" s="346"/>
      <c r="M49" s="21"/>
      <c r="N49" s="20"/>
    </row>
    <row r="50" spans="2:14">
      <c r="B50" s="71" t="s">
        <v>479</v>
      </c>
      <c r="C50" s="362" t="s">
        <v>459</v>
      </c>
      <c r="D50" s="369">
        <v>1301</v>
      </c>
      <c r="E50" s="370">
        <v>1800</v>
      </c>
      <c r="F50" s="370">
        <v>2300</v>
      </c>
      <c r="G50" s="370">
        <v>2900</v>
      </c>
      <c r="H50" s="370">
        <v>3400</v>
      </c>
      <c r="I50" s="365"/>
      <c r="M50" s="5"/>
    </row>
    <row r="51" spans="2:14">
      <c r="C51" s="362" t="s">
        <v>460</v>
      </c>
      <c r="D51" s="371"/>
      <c r="E51" s="370">
        <v>1950</v>
      </c>
      <c r="F51" s="370">
        <v>2600</v>
      </c>
      <c r="G51" s="370">
        <v>3300</v>
      </c>
      <c r="H51" s="370">
        <v>3700</v>
      </c>
      <c r="I51" s="365"/>
      <c r="M51" s="5"/>
    </row>
    <row r="52" spans="2:14">
      <c r="C52" s="362" t="s">
        <v>461</v>
      </c>
      <c r="D52" s="371"/>
      <c r="E52" s="370">
        <v>2100</v>
      </c>
      <c r="F52" s="370">
        <v>3100</v>
      </c>
      <c r="G52" s="370">
        <v>4200</v>
      </c>
      <c r="H52" s="370">
        <v>5000</v>
      </c>
      <c r="I52" s="365"/>
      <c r="M52" s="5"/>
    </row>
    <row r="53" spans="2:14">
      <c r="B53" s="77" t="s">
        <v>479</v>
      </c>
      <c r="C53" s="336" t="s">
        <v>462</v>
      </c>
      <c r="D53" s="354">
        <f>D50</f>
        <v>1301</v>
      </c>
      <c r="E53" s="355">
        <f>IF($B$4=1,E50,IF($B$4=2,E51,E52))</f>
        <v>1950</v>
      </c>
      <c r="F53" s="355">
        <f t="shared" ref="F53:H53" si="8">IF($B$4=1,F50,IF($B$4=2,F51,F52))</f>
        <v>2600</v>
      </c>
      <c r="G53" s="355">
        <f t="shared" si="8"/>
        <v>3300</v>
      </c>
      <c r="H53" s="355">
        <f t="shared" si="8"/>
        <v>3700</v>
      </c>
      <c r="I53" s="735" t="s">
        <v>480</v>
      </c>
      <c r="J53" s="735"/>
      <c r="K53" s="735"/>
      <c r="L53" s="735"/>
      <c r="M53" s="5"/>
    </row>
    <row r="54" spans="2:14">
      <c r="B54" s="104"/>
      <c r="C54" s="348"/>
      <c r="D54" s="372"/>
      <c r="E54" s="373"/>
      <c r="F54" s="373"/>
      <c r="G54" s="373"/>
      <c r="H54" s="373"/>
      <c r="I54" s="346"/>
      <c r="M54" s="5"/>
    </row>
    <row r="55" spans="2:14">
      <c r="B55" s="71" t="s">
        <v>481</v>
      </c>
      <c r="C55" s="362" t="s">
        <v>459</v>
      </c>
      <c r="D55" s="369">
        <v>667</v>
      </c>
      <c r="E55" s="370">
        <v>678</v>
      </c>
      <c r="F55" s="370">
        <v>698</v>
      </c>
      <c r="G55" s="370">
        <v>718</v>
      </c>
      <c r="H55" s="370">
        <v>740</v>
      </c>
      <c r="I55" s="365"/>
      <c r="M55" s="5"/>
    </row>
    <row r="56" spans="2:14">
      <c r="C56" s="362" t="s">
        <v>460</v>
      </c>
      <c r="D56" s="371"/>
      <c r="E56" s="370">
        <v>687</v>
      </c>
      <c r="F56" s="370">
        <v>708</v>
      </c>
      <c r="G56" s="370">
        <v>729</v>
      </c>
      <c r="H56" s="370">
        <v>751</v>
      </c>
      <c r="I56" s="365"/>
      <c r="M56" s="5"/>
    </row>
    <row r="57" spans="2:14">
      <c r="B57" s="93"/>
      <c r="C57" s="332" t="s">
        <v>461</v>
      </c>
      <c r="D57" s="353"/>
      <c r="E57" s="352">
        <v>697</v>
      </c>
      <c r="F57" s="352">
        <v>718</v>
      </c>
      <c r="G57" s="352">
        <v>740</v>
      </c>
      <c r="H57" s="352">
        <v>762</v>
      </c>
      <c r="I57" s="334"/>
      <c r="J57" s="335"/>
      <c r="K57" s="335"/>
      <c r="L57" s="335"/>
      <c r="M57" s="5"/>
    </row>
    <row r="58" spans="2:14">
      <c r="B58" s="77" t="s">
        <v>481</v>
      </c>
      <c r="C58" s="336" t="s">
        <v>462</v>
      </c>
      <c r="D58" s="354">
        <f>D55</f>
        <v>667</v>
      </c>
      <c r="E58" s="355">
        <f>IF($B$4=1,E55,IF($B$4=2,E56,E57))</f>
        <v>687</v>
      </c>
      <c r="F58" s="355">
        <f t="shared" ref="F58:H58" si="9">IF($B$4=1,F55,IF($B$4=2,F56,F57))</f>
        <v>708</v>
      </c>
      <c r="G58" s="355">
        <f t="shared" si="9"/>
        <v>729</v>
      </c>
      <c r="H58" s="355">
        <f t="shared" si="9"/>
        <v>751</v>
      </c>
      <c r="I58" s="735" t="s">
        <v>482</v>
      </c>
      <c r="J58" s="735"/>
      <c r="K58" s="735"/>
      <c r="L58" s="735"/>
      <c r="M58" s="5"/>
    </row>
    <row r="59" spans="2:14">
      <c r="B59" s="104"/>
      <c r="C59" s="348"/>
      <c r="D59" s="372"/>
      <c r="E59" s="373"/>
      <c r="F59" s="373"/>
      <c r="G59" s="373"/>
      <c r="H59" s="373"/>
      <c r="I59" s="346"/>
      <c r="M59" s="5"/>
    </row>
    <row r="60" spans="2:14">
      <c r="B60" s="71" t="s">
        <v>483</v>
      </c>
      <c r="C60" s="362" t="s">
        <v>459</v>
      </c>
      <c r="D60" s="369">
        <v>10.199999999999999</v>
      </c>
      <c r="E60" s="370">
        <v>14</v>
      </c>
      <c r="F60" s="370">
        <v>19</v>
      </c>
      <c r="G60" s="370">
        <v>26</v>
      </c>
      <c r="H60" s="370">
        <v>32</v>
      </c>
      <c r="I60" s="365"/>
      <c r="M60" s="5"/>
    </row>
    <row r="61" spans="2:14">
      <c r="C61" s="362" t="s">
        <v>460</v>
      </c>
      <c r="D61" s="371"/>
      <c r="E61" s="370">
        <v>17</v>
      </c>
      <c r="F61" s="370">
        <v>24</v>
      </c>
      <c r="G61" s="370">
        <v>32</v>
      </c>
      <c r="H61" s="370">
        <v>39</v>
      </c>
      <c r="I61" s="365"/>
      <c r="M61" s="5"/>
    </row>
    <row r="62" spans="2:14">
      <c r="C62" s="362" t="s">
        <v>461</v>
      </c>
      <c r="D62" s="371"/>
      <c r="E62" s="370">
        <v>20</v>
      </c>
      <c r="F62" s="370">
        <v>28</v>
      </c>
      <c r="G62" s="370">
        <v>38</v>
      </c>
      <c r="H62" s="370">
        <v>47</v>
      </c>
      <c r="I62" s="365"/>
      <c r="M62" s="5"/>
    </row>
    <row r="63" spans="2:14">
      <c r="B63" s="77" t="s">
        <v>483</v>
      </c>
      <c r="C63" s="336" t="s">
        <v>462</v>
      </c>
      <c r="D63" s="354">
        <f>D60</f>
        <v>10.199999999999999</v>
      </c>
      <c r="E63" s="355">
        <f>IF($B$4=1,E60,IF($B$4=2,E61,E62))</f>
        <v>17</v>
      </c>
      <c r="F63" s="355">
        <f t="shared" ref="F63:H63" si="10">IF($B$4=1,F60,IF($B$4=2,F61,F62))</f>
        <v>24</v>
      </c>
      <c r="G63" s="355">
        <f t="shared" si="10"/>
        <v>32</v>
      </c>
      <c r="H63" s="355">
        <f t="shared" si="10"/>
        <v>39</v>
      </c>
      <c r="I63" s="734" t="s">
        <v>484</v>
      </c>
      <c r="J63" s="734"/>
      <c r="K63" s="734"/>
      <c r="L63" s="734"/>
      <c r="M63" s="5"/>
    </row>
    <row r="64" spans="2:14">
      <c r="B64" s="104"/>
      <c r="C64" s="348"/>
      <c r="D64" s="349"/>
      <c r="E64" s="350"/>
      <c r="F64" s="350"/>
      <c r="G64" s="350"/>
      <c r="H64" s="350"/>
      <c r="I64" s="346"/>
      <c r="M64" s="5"/>
    </row>
    <row r="65" spans="1:13">
      <c r="B65" s="71" t="s">
        <v>485</v>
      </c>
      <c r="C65" s="362" t="s">
        <v>459</v>
      </c>
      <c r="D65" s="369">
        <v>1.21</v>
      </c>
      <c r="E65" s="370">
        <v>1.3</v>
      </c>
      <c r="F65" s="370">
        <v>1.5</v>
      </c>
      <c r="G65" s="370">
        <v>1.6</v>
      </c>
      <c r="H65" s="370">
        <v>1.7</v>
      </c>
      <c r="I65" s="365"/>
      <c r="M65" s="5"/>
    </row>
    <row r="66" spans="1:13">
      <c r="C66" s="362" t="s">
        <v>460</v>
      </c>
      <c r="D66" s="371"/>
      <c r="E66" s="370">
        <v>1.4</v>
      </c>
      <c r="F66" s="370">
        <v>1.6</v>
      </c>
      <c r="G66" s="370">
        <v>1.7</v>
      </c>
      <c r="H66" s="370">
        <v>1.8</v>
      </c>
      <c r="I66" s="365"/>
      <c r="M66" s="5"/>
    </row>
    <row r="67" spans="1:13">
      <c r="C67" s="362" t="s">
        <v>461</v>
      </c>
      <c r="D67" s="371"/>
      <c r="E67" s="370">
        <v>1.5</v>
      </c>
      <c r="F67" s="370">
        <v>1.7</v>
      </c>
      <c r="G67" s="370">
        <v>1.8</v>
      </c>
      <c r="H67" s="370">
        <v>1.9</v>
      </c>
      <c r="I67" s="365"/>
      <c r="M67" s="5"/>
    </row>
    <row r="68" spans="1:13">
      <c r="B68" s="77" t="s">
        <v>485</v>
      </c>
      <c r="C68" s="336" t="s">
        <v>462</v>
      </c>
      <c r="D68" s="354">
        <f>D65</f>
        <v>1.21</v>
      </c>
      <c r="E68" s="355">
        <f>IF($B$4=1,E65,IF($B$4=2,E66,E67))</f>
        <v>1.4</v>
      </c>
      <c r="F68" s="355">
        <f t="shared" ref="F68:H68" si="11">IF($B$4=1,F65,IF($B$4=2,F66,F67))</f>
        <v>1.6</v>
      </c>
      <c r="G68" s="355">
        <f t="shared" si="11"/>
        <v>1.7</v>
      </c>
      <c r="H68" s="355">
        <f t="shared" si="11"/>
        <v>1.8</v>
      </c>
      <c r="I68" s="734" t="s">
        <v>486</v>
      </c>
      <c r="J68" s="734"/>
      <c r="K68" s="734"/>
      <c r="L68" s="734"/>
      <c r="M68" s="5"/>
    </row>
    <row r="69" spans="1:13">
      <c r="B69" s="75"/>
      <c r="C69" s="348"/>
      <c r="D69" s="374"/>
      <c r="E69" s="375"/>
      <c r="F69" s="375"/>
      <c r="G69" s="375"/>
      <c r="H69" s="375"/>
      <c r="I69" s="376"/>
      <c r="J69" s="376"/>
      <c r="K69" s="376"/>
      <c r="L69" s="376"/>
      <c r="M69" s="5"/>
    </row>
    <row r="70" spans="1:13">
      <c r="E70" s="331"/>
      <c r="F70" s="331"/>
      <c r="G70" s="331"/>
      <c r="H70" s="331"/>
    </row>
    <row r="71" spans="1:13">
      <c r="A71" t="s">
        <v>132</v>
      </c>
      <c r="B71" s="732" t="s">
        <v>487</v>
      </c>
      <c r="C71" s="732"/>
      <c r="D71" s="732"/>
      <c r="E71" s="732"/>
      <c r="F71" s="732"/>
      <c r="G71" s="732"/>
      <c r="H71" s="732"/>
      <c r="I71" s="732"/>
      <c r="J71" s="732"/>
      <c r="K71" s="732"/>
      <c r="L71" s="732"/>
    </row>
    <row r="72" spans="1:13">
      <c r="B72" s="93" t="s">
        <v>488</v>
      </c>
      <c r="C72" s="332" t="s">
        <v>459</v>
      </c>
      <c r="D72" s="343">
        <v>0.95</v>
      </c>
      <c r="E72" s="333">
        <v>0.4</v>
      </c>
      <c r="F72" s="333">
        <v>0.3</v>
      </c>
      <c r="G72" s="333">
        <v>0.22</v>
      </c>
      <c r="H72" s="333">
        <v>0.18</v>
      </c>
      <c r="I72" s="334"/>
      <c r="J72" s="335"/>
      <c r="K72" s="335"/>
      <c r="L72" s="335"/>
    </row>
    <row r="73" spans="1:13">
      <c r="B73" s="93"/>
      <c r="C73" s="332" t="s">
        <v>460</v>
      </c>
      <c r="D73" s="347"/>
      <c r="E73" s="333">
        <v>0.6</v>
      </c>
      <c r="F73" s="333">
        <v>0.45</v>
      </c>
      <c r="G73" s="333">
        <v>0.35</v>
      </c>
      <c r="H73" s="333">
        <v>0.25</v>
      </c>
      <c r="I73" s="334"/>
      <c r="J73" s="335"/>
      <c r="K73" s="335"/>
      <c r="L73" s="335"/>
    </row>
    <row r="74" spans="1:13">
      <c r="B74" s="93"/>
      <c r="C74" s="332" t="s">
        <v>461</v>
      </c>
      <c r="D74" s="347"/>
      <c r="E74" s="333">
        <v>0.75</v>
      </c>
      <c r="F74" s="333">
        <v>0.55000000000000004</v>
      </c>
      <c r="G74" s="333">
        <v>0.4</v>
      </c>
      <c r="H74" s="333">
        <v>0.3</v>
      </c>
      <c r="I74" s="334"/>
      <c r="J74" s="335"/>
      <c r="K74" s="335"/>
      <c r="L74" s="335"/>
    </row>
    <row r="75" spans="1:13">
      <c r="B75" s="77" t="s">
        <v>488</v>
      </c>
      <c r="C75" s="336" t="s">
        <v>462</v>
      </c>
      <c r="D75" s="344">
        <f>D72</f>
        <v>0.95</v>
      </c>
      <c r="E75" s="338">
        <f>IF($B$4=1,E72,IF($B$4=2,E73,E74))</f>
        <v>0.6</v>
      </c>
      <c r="F75" s="338">
        <f t="shared" ref="F75:H75" si="12">IF($B$4=1,F72,IF($B$4=2,F73,F74))</f>
        <v>0.45</v>
      </c>
      <c r="G75" s="338">
        <f t="shared" si="12"/>
        <v>0.35</v>
      </c>
      <c r="H75" s="338">
        <f t="shared" si="12"/>
        <v>0.25</v>
      </c>
      <c r="I75" s="735" t="s">
        <v>489</v>
      </c>
      <c r="J75" s="735"/>
      <c r="K75" s="735"/>
      <c r="L75" s="735"/>
    </row>
    <row r="76" spans="1:13">
      <c r="B76" s="104"/>
      <c r="C76" s="348"/>
      <c r="D76" s="366"/>
      <c r="E76" s="367"/>
      <c r="F76" s="367"/>
      <c r="G76" s="367"/>
      <c r="H76" s="367"/>
      <c r="I76" s="377"/>
      <c r="J76" s="377"/>
      <c r="K76" s="377"/>
      <c r="L76" s="377"/>
    </row>
    <row r="77" spans="1:13">
      <c r="B77" s="93" t="s">
        <v>490</v>
      </c>
      <c r="C77" s="332" t="s">
        <v>459</v>
      </c>
      <c r="D77" s="343">
        <v>-1.4E-2</v>
      </c>
      <c r="E77" s="333">
        <v>3.0000000000000001E-3</v>
      </c>
      <c r="F77" s="333">
        <v>0.01</v>
      </c>
      <c r="G77" s="333">
        <v>2.5000000000000001E-2</v>
      </c>
      <c r="H77" s="333">
        <v>3.5000000000000003E-2</v>
      </c>
      <c r="I77" s="334"/>
      <c r="J77" s="335"/>
      <c r="K77" s="335"/>
      <c r="L77" s="335"/>
    </row>
    <row r="78" spans="1:13">
      <c r="B78" s="93"/>
      <c r="C78" s="332" t="s">
        <v>460</v>
      </c>
      <c r="D78" s="347"/>
      <c r="E78" s="333">
        <v>0.01</v>
      </c>
      <c r="F78" s="333">
        <v>0.02</v>
      </c>
      <c r="G78" s="333">
        <v>3.5000000000000003E-2</v>
      </c>
      <c r="H78" s="333">
        <v>4.4999999999999998E-2</v>
      </c>
      <c r="I78" s="334"/>
      <c r="J78" s="335"/>
      <c r="K78" s="335"/>
      <c r="L78" s="335"/>
    </row>
    <row r="79" spans="1:13">
      <c r="B79" s="93"/>
      <c r="C79" s="332" t="s">
        <v>461</v>
      </c>
      <c r="D79" s="347"/>
      <c r="E79" s="333">
        <v>0.02</v>
      </c>
      <c r="F79" s="333">
        <v>0.03</v>
      </c>
      <c r="G79" s="333">
        <v>4.4999999999999998E-2</v>
      </c>
      <c r="H79" s="333">
        <v>0.05</v>
      </c>
      <c r="I79" s="334"/>
      <c r="J79" s="335"/>
      <c r="K79" s="335"/>
      <c r="L79" s="335"/>
    </row>
    <row r="80" spans="1:13">
      <c r="B80" s="77" t="s">
        <v>490</v>
      </c>
      <c r="C80" s="336" t="s">
        <v>462</v>
      </c>
      <c r="D80" s="344">
        <f>D77</f>
        <v>-1.4E-2</v>
      </c>
      <c r="E80" s="338">
        <f>IF($B$4=1,E77,IF($B$4=2,E78,E79))</f>
        <v>0.01</v>
      </c>
      <c r="F80" s="338">
        <f t="shared" ref="F80:H80" si="13">IF($B$4=1,F77,IF($B$4=2,F78,F79))</f>
        <v>0.02</v>
      </c>
      <c r="G80" s="338">
        <f t="shared" si="13"/>
        <v>3.5000000000000003E-2</v>
      </c>
      <c r="H80" s="338">
        <f t="shared" si="13"/>
        <v>4.4999999999999998E-2</v>
      </c>
      <c r="I80" s="735" t="s">
        <v>491</v>
      </c>
      <c r="J80" s="735"/>
      <c r="K80" s="735"/>
      <c r="L80" s="735"/>
    </row>
    <row r="81" spans="1:12">
      <c r="B81" s="75"/>
      <c r="C81" s="348"/>
      <c r="D81" s="378"/>
      <c r="E81" s="379"/>
      <c r="F81" s="379"/>
      <c r="G81" s="379"/>
      <c r="H81" s="379"/>
      <c r="I81" s="358"/>
      <c r="J81" s="358"/>
      <c r="K81" s="358"/>
      <c r="L81" s="358"/>
    </row>
    <row r="83" spans="1:12" ht="15" customHeight="1">
      <c r="A83" t="s">
        <v>132</v>
      </c>
      <c r="B83" s="732" t="s">
        <v>492</v>
      </c>
      <c r="C83" s="732"/>
      <c r="D83" s="732"/>
      <c r="E83" s="732"/>
      <c r="F83" s="732"/>
      <c r="G83" s="732"/>
      <c r="H83" s="732"/>
      <c r="I83" s="732"/>
      <c r="J83" s="732"/>
      <c r="K83" s="732"/>
      <c r="L83" s="732"/>
    </row>
    <row r="84" spans="1:12">
      <c r="B84" s="93" t="s">
        <v>493</v>
      </c>
      <c r="C84" s="332" t="s">
        <v>459</v>
      </c>
      <c r="D84" s="347"/>
      <c r="E84" s="333">
        <v>0.5</v>
      </c>
      <c r="F84" s="333">
        <v>0.35</v>
      </c>
      <c r="G84" s="333">
        <v>0.28000000000000003</v>
      </c>
      <c r="H84" s="333">
        <v>0.25</v>
      </c>
      <c r="I84" s="334"/>
      <c r="J84" s="335"/>
      <c r="K84" s="335"/>
      <c r="L84" s="335"/>
    </row>
    <row r="85" spans="1:12">
      <c r="B85" s="93"/>
      <c r="C85" s="332" t="s">
        <v>460</v>
      </c>
      <c r="D85" s="347"/>
      <c r="E85" s="333">
        <v>0.7</v>
      </c>
      <c r="F85" s="333">
        <v>0.5</v>
      </c>
      <c r="G85" s="333">
        <v>0.4</v>
      </c>
      <c r="H85" s="333">
        <v>0.35</v>
      </c>
      <c r="I85" s="334"/>
      <c r="J85" s="335"/>
      <c r="K85" s="335"/>
      <c r="L85" s="335"/>
    </row>
    <row r="86" spans="1:12">
      <c r="B86" s="93"/>
      <c r="C86" s="332" t="s">
        <v>461</v>
      </c>
      <c r="D86" s="347"/>
      <c r="E86" s="333">
        <v>0.9</v>
      </c>
      <c r="F86" s="333">
        <v>0.65</v>
      </c>
      <c r="G86" s="333">
        <v>0.5</v>
      </c>
      <c r="H86" s="333">
        <v>0.42</v>
      </c>
      <c r="I86" s="334"/>
      <c r="J86" s="335"/>
      <c r="K86" s="335"/>
      <c r="L86" s="335"/>
    </row>
    <row r="87" spans="1:12">
      <c r="B87" s="77" t="s">
        <v>493</v>
      </c>
      <c r="C87" s="336" t="s">
        <v>462</v>
      </c>
      <c r="D87" s="368"/>
      <c r="E87" s="338">
        <f>IF($B$4=1,E84,IF($B$4=2,E85,E86))</f>
        <v>0.7</v>
      </c>
      <c r="F87" s="338">
        <f t="shared" ref="F87:H87" si="14">IF($B$4=1,F84,IF($B$4=2,F85,F86))</f>
        <v>0.5</v>
      </c>
      <c r="G87" s="338">
        <f t="shared" si="14"/>
        <v>0.4</v>
      </c>
      <c r="H87" s="338">
        <f t="shared" si="14"/>
        <v>0.35</v>
      </c>
      <c r="I87" s="735" t="s">
        <v>494</v>
      </c>
      <c r="J87" s="735"/>
      <c r="K87" s="735"/>
      <c r="L87" s="735"/>
    </row>
    <row r="88" spans="1:12">
      <c r="B88" s="104"/>
      <c r="C88" s="348"/>
      <c r="D88" s="67"/>
      <c r="E88" s="367"/>
      <c r="F88" s="367"/>
      <c r="G88" s="367"/>
      <c r="H88" s="367"/>
      <c r="I88" s="346"/>
    </row>
    <row r="89" spans="1:12">
      <c r="B89" s="93" t="s">
        <v>495</v>
      </c>
      <c r="C89" s="332" t="s">
        <v>459</v>
      </c>
      <c r="D89" s="343">
        <v>0.111</v>
      </c>
      <c r="E89" s="333">
        <v>0.08</v>
      </c>
      <c r="F89" s="333">
        <v>8.5000000000000006E-2</v>
      </c>
      <c r="G89" s="333">
        <v>0.09</v>
      </c>
      <c r="H89" s="333">
        <v>9.5000000000000001E-2</v>
      </c>
      <c r="I89" s="334"/>
      <c r="J89" s="335"/>
      <c r="K89" s="335"/>
      <c r="L89" s="335"/>
    </row>
    <row r="90" spans="1:12">
      <c r="B90" s="93"/>
      <c r="C90" s="332" t="s">
        <v>460</v>
      </c>
      <c r="D90" s="347"/>
      <c r="E90" s="333">
        <v>0.09</v>
      </c>
      <c r="F90" s="333">
        <v>9.5000000000000001E-2</v>
      </c>
      <c r="G90" s="333">
        <v>0.1</v>
      </c>
      <c r="H90" s="333">
        <v>0.105</v>
      </c>
      <c r="I90" s="334"/>
      <c r="J90" s="335"/>
      <c r="K90" s="335"/>
      <c r="L90" s="335"/>
    </row>
    <row r="91" spans="1:12">
      <c r="B91" s="93"/>
      <c r="C91" s="332" t="s">
        <v>461</v>
      </c>
      <c r="D91" s="347"/>
      <c r="E91" s="333">
        <v>9.5000000000000001E-2</v>
      </c>
      <c r="F91" s="333">
        <v>0.1</v>
      </c>
      <c r="G91" s="333">
        <v>0.11</v>
      </c>
      <c r="H91" s="333">
        <v>0.115</v>
      </c>
      <c r="I91" s="334"/>
      <c r="J91" s="335"/>
      <c r="K91" s="335"/>
      <c r="L91" s="335"/>
    </row>
    <row r="92" spans="1:12">
      <c r="B92" s="77" t="s">
        <v>495</v>
      </c>
      <c r="C92" s="336" t="s">
        <v>462</v>
      </c>
      <c r="D92" s="344">
        <f>D89</f>
        <v>0.111</v>
      </c>
      <c r="E92" s="338">
        <f>IF($B$4=1,E89,IF($B$4=2,E90,E91))</f>
        <v>0.09</v>
      </c>
      <c r="F92" s="338">
        <f t="shared" ref="F92:H92" si="15">IF($B$4=1,F89,IF($B$4=2,F90,F91))</f>
        <v>9.5000000000000001E-2</v>
      </c>
      <c r="G92" s="338">
        <f t="shared" si="15"/>
        <v>0.1</v>
      </c>
      <c r="H92" s="338">
        <f t="shared" si="15"/>
        <v>0.105</v>
      </c>
      <c r="I92" s="735" t="s">
        <v>496</v>
      </c>
      <c r="J92" s="735"/>
      <c r="K92" s="735"/>
      <c r="L92" s="735"/>
    </row>
    <row r="93" spans="1:12">
      <c r="B93" s="104"/>
      <c r="C93" s="348"/>
      <c r="D93" s="366"/>
      <c r="E93" s="367"/>
      <c r="F93" s="367"/>
      <c r="G93" s="367"/>
      <c r="H93" s="367"/>
      <c r="I93" s="346"/>
    </row>
    <row r="94" spans="1:12">
      <c r="B94" s="93" t="s">
        <v>497</v>
      </c>
      <c r="C94" s="332" t="s">
        <v>459</v>
      </c>
      <c r="D94" s="343">
        <v>-6.0000000000000001E-3</v>
      </c>
      <c r="E94" s="333">
        <v>-2.5000000000000001E-2</v>
      </c>
      <c r="F94" s="333">
        <v>-1.4999999999999999E-2</v>
      </c>
      <c r="G94" s="333">
        <v>0</v>
      </c>
      <c r="H94" s="333">
        <v>1.4999999999999999E-2</v>
      </c>
      <c r="I94" s="334"/>
      <c r="J94" s="335"/>
      <c r="K94" s="335"/>
      <c r="L94" s="335"/>
    </row>
    <row r="95" spans="1:12">
      <c r="B95" s="93"/>
      <c r="C95" s="332" t="s">
        <v>460</v>
      </c>
      <c r="D95" s="347"/>
      <c r="E95" s="333">
        <v>-1.4999999999999999E-2</v>
      </c>
      <c r="F95" s="333">
        <v>-5.0000000000000001E-3</v>
      </c>
      <c r="G95" s="333">
        <v>1.4999999999999999E-2</v>
      </c>
      <c r="H95" s="333">
        <v>0.03</v>
      </c>
      <c r="I95" s="334"/>
      <c r="J95" s="335"/>
      <c r="K95" s="335"/>
      <c r="L95" s="335"/>
    </row>
    <row r="96" spans="1:12">
      <c r="B96" s="93"/>
      <c r="C96" s="332" t="s">
        <v>461</v>
      </c>
      <c r="D96" s="347"/>
      <c r="E96" s="333">
        <v>-5.0000000000000001E-3</v>
      </c>
      <c r="F96" s="333">
        <v>5.0000000000000001E-3</v>
      </c>
      <c r="G96" s="333">
        <v>0.03</v>
      </c>
      <c r="H96" s="333">
        <v>4.4999999999999998E-2</v>
      </c>
      <c r="I96" s="334"/>
      <c r="J96" s="335"/>
      <c r="K96" s="335"/>
      <c r="L96" s="335"/>
    </row>
    <row r="97" spans="1:12">
      <c r="B97" s="77" t="s">
        <v>497</v>
      </c>
      <c r="C97" s="336" t="s">
        <v>462</v>
      </c>
      <c r="D97" s="344">
        <f>D94</f>
        <v>-6.0000000000000001E-3</v>
      </c>
      <c r="E97" s="338">
        <f>IF($B$4=1,E94,IF($B$4=2,E95,E96))</f>
        <v>-1.4999999999999999E-2</v>
      </c>
      <c r="F97" s="338">
        <f t="shared" ref="F97:H97" si="16">IF($B$4=1,F94,IF($B$4=2,F95,F96))</f>
        <v>-5.0000000000000001E-3</v>
      </c>
      <c r="G97" s="338">
        <f t="shared" si="16"/>
        <v>1.4999999999999999E-2</v>
      </c>
      <c r="H97" s="338">
        <f t="shared" si="16"/>
        <v>0.03</v>
      </c>
      <c r="I97" s="735" t="s">
        <v>498</v>
      </c>
      <c r="J97" s="735"/>
      <c r="K97" s="735"/>
      <c r="L97" s="735"/>
    </row>
    <row r="100" spans="1:12" ht="15" customHeight="1">
      <c r="A100" t="s">
        <v>132</v>
      </c>
      <c r="B100" s="732" t="s">
        <v>499</v>
      </c>
      <c r="C100" s="732"/>
      <c r="D100" s="732"/>
      <c r="E100" s="732"/>
      <c r="F100" s="732"/>
      <c r="G100" s="732"/>
      <c r="H100" s="732"/>
      <c r="I100" s="732"/>
      <c r="J100" s="732"/>
      <c r="K100" s="732"/>
      <c r="L100" s="732"/>
    </row>
    <row r="101" spans="1:12">
      <c r="B101" s="104" t="s">
        <v>500</v>
      </c>
      <c r="C101" s="71" t="s">
        <v>501</v>
      </c>
      <c r="E101" s="380">
        <v>25</v>
      </c>
      <c r="F101" s="380">
        <v>25</v>
      </c>
      <c r="G101" s="380">
        <v>25</v>
      </c>
      <c r="H101" s="380">
        <v>25</v>
      </c>
      <c r="I101" s="737" t="s">
        <v>502</v>
      </c>
      <c r="J101" s="737"/>
      <c r="K101" s="737"/>
      <c r="L101" s="737"/>
    </row>
    <row r="103" spans="1:12">
      <c r="B103" s="732" t="s">
        <v>503</v>
      </c>
      <c r="C103" s="732"/>
      <c r="D103" s="732"/>
      <c r="E103" s="732"/>
      <c r="F103" s="732"/>
      <c r="G103" s="732"/>
      <c r="H103" s="732"/>
      <c r="I103" s="732"/>
      <c r="J103" s="732"/>
      <c r="K103" s="732"/>
      <c r="L103" s="732"/>
    </row>
    <row r="104" spans="1:12" s="1" customFormat="1">
      <c r="B104" s="381"/>
      <c r="C104" s="381"/>
      <c r="D104" s="382"/>
      <c r="E104" s="382"/>
      <c r="F104" s="382"/>
      <c r="G104" s="382"/>
      <c r="H104" s="382"/>
      <c r="I104" s="79"/>
      <c r="J104" s="79"/>
      <c r="K104" s="79"/>
      <c r="L104" s="79"/>
    </row>
    <row r="105" spans="1:12">
      <c r="B105" s="93" t="s">
        <v>504</v>
      </c>
      <c r="C105" s="332" t="s">
        <v>459</v>
      </c>
      <c r="D105" s="343">
        <v>0.28299999999999997</v>
      </c>
      <c r="E105" s="333">
        <v>0.28499999999999998</v>
      </c>
      <c r="F105" s="333">
        <v>0.27800000000000002</v>
      </c>
      <c r="G105" s="333">
        <v>0.27</v>
      </c>
      <c r="H105" s="333">
        <v>0.26500000000000001</v>
      </c>
      <c r="I105" s="334"/>
      <c r="J105" s="335"/>
      <c r="K105" s="335"/>
      <c r="L105" s="335"/>
    </row>
    <row r="106" spans="1:12">
      <c r="B106" s="93"/>
      <c r="C106" s="332" t="s">
        <v>460</v>
      </c>
      <c r="D106" s="347"/>
      <c r="E106" s="333">
        <v>0.27500000000000002</v>
      </c>
      <c r="F106" s="333">
        <v>0.26500000000000001</v>
      </c>
      <c r="G106" s="333">
        <v>0.255</v>
      </c>
      <c r="H106" s="333">
        <v>0.245</v>
      </c>
      <c r="I106" s="334"/>
      <c r="J106" s="335"/>
      <c r="K106" s="335"/>
      <c r="L106" s="335"/>
    </row>
    <row r="107" spans="1:12">
      <c r="B107" s="93"/>
      <c r="C107" s="332" t="s">
        <v>461</v>
      </c>
      <c r="D107" s="347"/>
      <c r="E107" s="333">
        <v>0.26500000000000001</v>
      </c>
      <c r="F107" s="333">
        <v>0.25</v>
      </c>
      <c r="G107" s="333">
        <v>0.23799999999999999</v>
      </c>
      <c r="H107" s="333">
        <v>0.22500000000000001</v>
      </c>
      <c r="I107" s="334"/>
      <c r="J107" s="335"/>
      <c r="K107" s="335"/>
      <c r="L107" s="335"/>
    </row>
    <row r="108" spans="1:12">
      <c r="B108" s="77" t="s">
        <v>504</v>
      </c>
      <c r="C108" s="336" t="s">
        <v>462</v>
      </c>
      <c r="D108" s="344">
        <f>D105</f>
        <v>0.28299999999999997</v>
      </c>
      <c r="E108" s="338">
        <f>IF($B$4=1,E105,IF($B$4=2,E106,E107))</f>
        <v>0.27500000000000002</v>
      </c>
      <c r="F108" s="338">
        <f t="shared" ref="F108:H108" si="17">IF($B$4=1,F105,IF($B$4=2,F106,F107))</f>
        <v>0.26500000000000001</v>
      </c>
      <c r="G108" s="338">
        <f t="shared" si="17"/>
        <v>0.255</v>
      </c>
      <c r="H108" s="338">
        <f t="shared" si="17"/>
        <v>0.245</v>
      </c>
      <c r="I108" s="735" t="s">
        <v>505</v>
      </c>
      <c r="J108" s="735"/>
      <c r="K108" s="735"/>
      <c r="L108" s="735"/>
    </row>
    <row r="109" spans="1:12">
      <c r="B109" s="104"/>
      <c r="C109" s="348"/>
      <c r="D109" s="366"/>
      <c r="E109" s="367"/>
      <c r="F109" s="367"/>
      <c r="G109" s="367"/>
      <c r="H109" s="367"/>
      <c r="I109" s="346"/>
    </row>
    <row r="110" spans="1:12">
      <c r="B110" s="93" t="s">
        <v>506</v>
      </c>
      <c r="C110" s="332" t="s">
        <v>459</v>
      </c>
      <c r="D110" s="343">
        <v>4.2999999999999997E-2</v>
      </c>
      <c r="E110" s="333">
        <v>6.5000000000000002E-2</v>
      </c>
      <c r="F110" s="333">
        <v>0.06</v>
      </c>
      <c r="G110" s="363">
        <v>5.5E-2</v>
      </c>
      <c r="H110" s="333">
        <v>5.1999999999999998E-2</v>
      </c>
      <c r="I110" s="334"/>
      <c r="J110" s="335"/>
      <c r="K110" s="335"/>
      <c r="L110" s="335"/>
    </row>
    <row r="111" spans="1:12">
      <c r="B111" s="93"/>
      <c r="C111" s="332" t="s">
        <v>460</v>
      </c>
      <c r="D111" s="347"/>
      <c r="E111" s="333">
        <v>0.05</v>
      </c>
      <c r="F111" s="333">
        <v>4.8000000000000001E-2</v>
      </c>
      <c r="G111" s="333">
        <v>4.4999999999999998E-2</v>
      </c>
      <c r="H111" s="333">
        <v>4.4999999999999998E-2</v>
      </c>
      <c r="I111" s="334"/>
      <c r="J111" s="335"/>
      <c r="K111" s="335"/>
      <c r="L111" s="335"/>
    </row>
    <row r="112" spans="1:12">
      <c r="B112" s="93"/>
      <c r="C112" s="332" t="s">
        <v>461</v>
      </c>
      <c r="D112" s="347"/>
      <c r="E112" s="333">
        <v>0.04</v>
      </c>
      <c r="F112" s="333">
        <v>3.7999999999999999E-2</v>
      </c>
      <c r="G112" s="333">
        <v>3.5000000000000003E-2</v>
      </c>
      <c r="H112" s="333">
        <v>3.2000000000000001E-2</v>
      </c>
      <c r="I112" s="334"/>
      <c r="J112" s="335"/>
      <c r="K112" s="335"/>
      <c r="L112" s="335"/>
    </row>
    <row r="113" spans="1:12">
      <c r="B113" s="77" t="s">
        <v>506</v>
      </c>
      <c r="C113" s="336" t="s">
        <v>462</v>
      </c>
      <c r="D113" s="344">
        <f>D110</f>
        <v>4.2999999999999997E-2</v>
      </c>
      <c r="E113" s="338">
        <f>IF($B$4=1,E110,IF($B$4=2,E111,E112))</f>
        <v>0.05</v>
      </c>
      <c r="F113" s="338">
        <f>IF($B$4=1,F110,IF($B$4=2,F111,F112))</f>
        <v>4.8000000000000001E-2</v>
      </c>
      <c r="G113" s="338">
        <f>IF($B$4=1,F110,IF($B$4=2,G111,G112))</f>
        <v>4.4999999999999998E-2</v>
      </c>
      <c r="H113" s="338">
        <f t="shared" ref="H113" si="18">IF($B$4=1,H110,IF($B$4=2,H111,H112))</f>
        <v>4.4999999999999998E-2</v>
      </c>
      <c r="I113" s="735" t="s">
        <v>507</v>
      </c>
      <c r="J113" s="735"/>
      <c r="K113" s="735"/>
      <c r="L113" s="735"/>
    </row>
    <row r="114" spans="1:12">
      <c r="B114" s="104"/>
      <c r="C114" s="348"/>
      <c r="D114" s="366"/>
      <c r="E114" s="367"/>
      <c r="F114" s="367"/>
      <c r="G114" s="367"/>
      <c r="H114" s="367"/>
      <c r="I114" s="346"/>
    </row>
    <row r="115" spans="1:12">
      <c r="B115" s="93" t="s">
        <v>508</v>
      </c>
      <c r="C115" s="332" t="s">
        <v>459</v>
      </c>
      <c r="D115" s="343">
        <v>3.2000000000000001E-2</v>
      </c>
      <c r="E115" s="333">
        <v>3.2000000000000001E-2</v>
      </c>
      <c r="F115" s="333">
        <v>0.03</v>
      </c>
      <c r="G115" s="333">
        <v>2.8000000000000001E-2</v>
      </c>
      <c r="H115" s="333">
        <v>2.7E-2</v>
      </c>
      <c r="I115" s="334"/>
      <c r="J115" s="335"/>
      <c r="K115" s="335"/>
      <c r="L115" s="335"/>
    </row>
    <row r="116" spans="1:12">
      <c r="B116" s="93"/>
      <c r="C116" s="332" t="s">
        <v>460</v>
      </c>
      <c r="D116" s="347"/>
      <c r="E116" s="333">
        <v>0.03</v>
      </c>
      <c r="F116" s="333">
        <v>2.8000000000000001E-2</v>
      </c>
      <c r="G116" s="333">
        <v>2.5999999999999999E-2</v>
      </c>
      <c r="H116" s="333">
        <v>2.5000000000000001E-2</v>
      </c>
      <c r="I116" s="334"/>
      <c r="J116" s="335"/>
      <c r="K116" s="335"/>
      <c r="L116" s="335"/>
    </row>
    <row r="117" spans="1:12">
      <c r="B117" s="93"/>
      <c r="C117" s="332" t="s">
        <v>461</v>
      </c>
      <c r="D117" s="347"/>
      <c r="E117" s="333">
        <v>2.8000000000000001E-2</v>
      </c>
      <c r="F117" s="333">
        <v>2.5999999999999999E-2</v>
      </c>
      <c r="G117" s="333">
        <v>2.4E-2</v>
      </c>
      <c r="H117" s="333">
        <v>2.3E-2</v>
      </c>
      <c r="I117" s="334"/>
      <c r="J117" s="335"/>
      <c r="K117" s="335"/>
      <c r="L117" s="335"/>
    </row>
    <row r="118" spans="1:12">
      <c r="B118" s="77" t="s">
        <v>508</v>
      </c>
      <c r="C118" s="336" t="s">
        <v>462</v>
      </c>
      <c r="D118" s="344">
        <f>D115</f>
        <v>3.2000000000000001E-2</v>
      </c>
      <c r="E118" s="338">
        <f>IF($B$4=1,E115,IF($B$4=2,E116,E117))</f>
        <v>0.03</v>
      </c>
      <c r="F118" s="338">
        <f t="shared" ref="F118:H118" si="19">IF($B$4=1,F115,IF($B$4=2,F116,F117))</f>
        <v>2.8000000000000001E-2</v>
      </c>
      <c r="G118" s="338">
        <f t="shared" si="19"/>
        <v>2.5999999999999999E-2</v>
      </c>
      <c r="H118" s="338">
        <f t="shared" si="19"/>
        <v>2.5000000000000001E-2</v>
      </c>
      <c r="I118" s="735" t="s">
        <v>509</v>
      </c>
      <c r="J118" s="735"/>
      <c r="K118" s="735"/>
      <c r="L118" s="735"/>
    </row>
    <row r="119" spans="1:12">
      <c r="B119" s="104"/>
      <c r="C119" s="348"/>
      <c r="D119" s="366"/>
      <c r="E119" s="367"/>
      <c r="F119" s="367"/>
      <c r="G119" s="367"/>
      <c r="H119" s="367"/>
      <c r="I119" s="346"/>
    </row>
    <row r="120" spans="1:12">
      <c r="B120" s="93" t="s">
        <v>510</v>
      </c>
      <c r="C120" s="332" t="s">
        <v>459</v>
      </c>
      <c r="D120" s="343">
        <v>0.24</v>
      </c>
      <c r="E120" s="333">
        <v>0.24</v>
      </c>
      <c r="F120" s="333">
        <v>0.25</v>
      </c>
      <c r="G120" s="333">
        <v>0.25</v>
      </c>
      <c r="H120" s="333">
        <v>0.25</v>
      </c>
      <c r="I120" s="334"/>
      <c r="J120" s="335"/>
      <c r="K120" s="335"/>
      <c r="L120" s="335"/>
    </row>
    <row r="121" spans="1:12">
      <c r="B121" s="93"/>
      <c r="C121" s="332" t="s">
        <v>460</v>
      </c>
      <c r="D121" s="347"/>
      <c r="E121" s="333">
        <v>0.22</v>
      </c>
      <c r="F121" s="333">
        <v>0.22</v>
      </c>
      <c r="G121" s="333">
        <v>0.25</v>
      </c>
      <c r="H121" s="333">
        <v>0.25</v>
      </c>
      <c r="I121" s="334"/>
      <c r="J121" s="335"/>
      <c r="K121" s="335"/>
      <c r="L121" s="335"/>
    </row>
    <row r="122" spans="1:12">
      <c r="B122" s="93"/>
      <c r="C122" s="332" t="s">
        <v>461</v>
      </c>
      <c r="D122" s="347"/>
      <c r="E122" s="333">
        <v>0.16</v>
      </c>
      <c r="F122" s="333">
        <v>0.2</v>
      </c>
      <c r="G122" s="333">
        <v>0.24</v>
      </c>
      <c r="H122" s="333">
        <v>0.25</v>
      </c>
      <c r="I122" s="334"/>
      <c r="J122" s="335"/>
      <c r="K122" s="335"/>
      <c r="L122" s="335"/>
    </row>
    <row r="123" spans="1:12">
      <c r="B123" s="77" t="s">
        <v>510</v>
      </c>
      <c r="C123" s="336" t="s">
        <v>462</v>
      </c>
      <c r="D123" s="344">
        <f>D120</f>
        <v>0.24</v>
      </c>
      <c r="E123" s="338">
        <f>IF($B$4=1,E120,IF($B$4=2,E121,E122))</f>
        <v>0.22</v>
      </c>
      <c r="F123" s="338">
        <f t="shared" ref="F123:G123" si="20">IF($B$4=1,F120,IF($B$4=2,F121,F122))</f>
        <v>0.22</v>
      </c>
      <c r="G123" s="338">
        <f t="shared" si="20"/>
        <v>0.25</v>
      </c>
      <c r="H123" s="338">
        <f>IF($B$4=1,H120,IF($B$4=2,H121,H122))</f>
        <v>0.25</v>
      </c>
      <c r="I123" s="735" t="s">
        <v>511</v>
      </c>
      <c r="J123" s="735"/>
      <c r="K123" s="735"/>
      <c r="L123" s="735"/>
    </row>
    <row r="126" spans="1:12" ht="15" customHeight="1">
      <c r="A126" t="s">
        <v>132</v>
      </c>
      <c r="B126" s="732" t="s">
        <v>512</v>
      </c>
      <c r="C126" s="732"/>
      <c r="D126" s="732"/>
      <c r="E126" s="732"/>
      <c r="F126" s="732"/>
      <c r="G126" s="732"/>
      <c r="H126" s="732"/>
      <c r="I126" s="732"/>
      <c r="J126" s="732"/>
      <c r="K126" s="732"/>
      <c r="L126" s="732"/>
    </row>
    <row r="127" spans="1:12">
      <c r="B127" s="71" t="s">
        <v>513</v>
      </c>
      <c r="C127" s="71" t="s">
        <v>514</v>
      </c>
      <c r="D127" s="380">
        <v>247</v>
      </c>
      <c r="E127" s="380">
        <v>380</v>
      </c>
      <c r="F127" s="380">
        <v>480</v>
      </c>
      <c r="G127" s="380">
        <v>560</v>
      </c>
      <c r="H127" s="380">
        <v>620</v>
      </c>
      <c r="I127" s="737" t="s">
        <v>515</v>
      </c>
      <c r="J127" s="737"/>
      <c r="K127" s="737"/>
      <c r="L127" s="737"/>
    </row>
    <row r="128" spans="1:12">
      <c r="B128" s="71" t="s">
        <v>516</v>
      </c>
      <c r="C128" s="71" t="s">
        <v>514</v>
      </c>
      <c r="D128" s="380">
        <v>287</v>
      </c>
      <c r="E128" s="380">
        <v>250</v>
      </c>
      <c r="F128" s="380">
        <v>200</v>
      </c>
      <c r="G128" s="380">
        <v>160</v>
      </c>
      <c r="H128" s="380">
        <v>130</v>
      </c>
      <c r="I128" s="737" t="s">
        <v>517</v>
      </c>
      <c r="J128" s="737"/>
      <c r="K128" s="737"/>
      <c r="L128" s="737"/>
    </row>
    <row r="129" spans="1:12">
      <c r="B129" s="71" t="s">
        <v>518</v>
      </c>
      <c r="C129" s="71" t="s">
        <v>514</v>
      </c>
      <c r="D129" s="380">
        <v>329</v>
      </c>
      <c r="E129" s="380">
        <v>500</v>
      </c>
      <c r="F129" s="380">
        <v>700</v>
      </c>
      <c r="G129" s="380">
        <v>870</v>
      </c>
      <c r="H129" s="380">
        <v>990</v>
      </c>
      <c r="I129" s="737" t="s">
        <v>519</v>
      </c>
      <c r="J129" s="737"/>
      <c r="K129" s="737"/>
      <c r="L129" s="737"/>
    </row>
    <row r="130" spans="1:12">
      <c r="B130" s="383" t="s">
        <v>520</v>
      </c>
      <c r="C130" s="383"/>
      <c r="D130" s="384">
        <f>SUM(D127:D129)</f>
        <v>863</v>
      </c>
      <c r="E130" s="384">
        <f t="shared" ref="E130:H130" si="21">SUM(E127:E129)</f>
        <v>1130</v>
      </c>
      <c r="F130" s="384">
        <f t="shared" si="21"/>
        <v>1380</v>
      </c>
      <c r="G130" s="384">
        <f t="shared" si="21"/>
        <v>1590</v>
      </c>
      <c r="H130" s="384">
        <f t="shared" si="21"/>
        <v>1740</v>
      </c>
      <c r="I130" s="365"/>
    </row>
    <row r="133" spans="1:12" ht="15" customHeight="1">
      <c r="A133" t="s">
        <v>132</v>
      </c>
      <c r="B133" s="732" t="s">
        <v>521</v>
      </c>
      <c r="C133" s="732"/>
      <c r="D133" s="732"/>
      <c r="E133" s="732"/>
      <c r="F133" s="732"/>
      <c r="G133" s="732"/>
      <c r="H133" s="732"/>
      <c r="I133" s="732"/>
      <c r="J133" s="732"/>
      <c r="K133" s="732"/>
      <c r="L133" s="732"/>
    </row>
    <row r="134" spans="1:12">
      <c r="B134" s="71" t="s">
        <v>336</v>
      </c>
      <c r="C134" s="71" t="s">
        <v>514</v>
      </c>
      <c r="D134" s="369">
        <v>11.4</v>
      </c>
      <c r="E134" s="369">
        <v>12</v>
      </c>
      <c r="F134" s="369">
        <v>12</v>
      </c>
      <c r="G134" s="369">
        <v>11</v>
      </c>
      <c r="H134" s="369">
        <v>10</v>
      </c>
      <c r="I134" s="737" t="s">
        <v>522</v>
      </c>
      <c r="J134" s="737"/>
      <c r="K134" s="737"/>
      <c r="L134" s="737"/>
    </row>
    <row r="135" spans="1:12">
      <c r="B135" s="71" t="s">
        <v>334</v>
      </c>
      <c r="C135" s="71" t="s">
        <v>514</v>
      </c>
      <c r="D135" s="369">
        <v>35.1</v>
      </c>
      <c r="E135" s="369">
        <v>38</v>
      </c>
      <c r="F135" s="369">
        <v>38</v>
      </c>
      <c r="G135" s="369">
        <v>36</v>
      </c>
      <c r="H135" s="369">
        <v>35</v>
      </c>
      <c r="I135" s="737" t="s">
        <v>523</v>
      </c>
      <c r="J135" s="737"/>
      <c r="K135" s="737"/>
      <c r="L135" s="737"/>
    </row>
    <row r="136" spans="1:12">
      <c r="B136" s="71" t="s">
        <v>335</v>
      </c>
      <c r="C136" s="71" t="s">
        <v>514</v>
      </c>
      <c r="D136" s="369">
        <v>7.5</v>
      </c>
      <c r="E136" s="369">
        <v>7.5</v>
      </c>
      <c r="F136" s="369">
        <v>7.5</v>
      </c>
      <c r="G136" s="369">
        <v>8</v>
      </c>
      <c r="H136" s="369">
        <v>8</v>
      </c>
      <c r="I136" s="737" t="s">
        <v>524</v>
      </c>
      <c r="J136" s="737"/>
      <c r="K136" s="737"/>
      <c r="L136" s="737"/>
    </row>
    <row r="137" spans="1:12">
      <c r="B137" s="71" t="s">
        <v>525</v>
      </c>
      <c r="C137" s="71" t="s">
        <v>514</v>
      </c>
      <c r="D137" s="369">
        <v>936</v>
      </c>
      <c r="E137" s="369">
        <v>1100</v>
      </c>
      <c r="F137" s="369">
        <v>1450</v>
      </c>
      <c r="G137" s="369">
        <v>1300</v>
      </c>
      <c r="H137" s="369">
        <v>1000</v>
      </c>
      <c r="I137" s="737" t="s">
        <v>526</v>
      </c>
      <c r="J137" s="737"/>
      <c r="K137" s="737"/>
      <c r="L137" s="737"/>
    </row>
    <row r="138" spans="1:12">
      <c r="B138" s="71" t="s">
        <v>527</v>
      </c>
      <c r="C138" s="71" t="s">
        <v>514</v>
      </c>
      <c r="D138" s="369">
        <v>16806</v>
      </c>
      <c r="E138" s="369">
        <v>15500</v>
      </c>
      <c r="F138" s="369">
        <v>13500</v>
      </c>
      <c r="G138" s="369">
        <v>12000</v>
      </c>
      <c r="H138" s="369">
        <v>11000</v>
      </c>
      <c r="I138" s="737" t="s">
        <v>528</v>
      </c>
      <c r="J138" s="737"/>
      <c r="K138" s="737"/>
      <c r="L138" s="737"/>
    </row>
    <row r="139" spans="1:12">
      <c r="B139" s="71" t="s">
        <v>420</v>
      </c>
      <c r="C139" s="71" t="s">
        <v>514</v>
      </c>
      <c r="D139" s="369">
        <v>1918</v>
      </c>
      <c r="E139" s="369">
        <v>2900</v>
      </c>
      <c r="F139" s="369">
        <v>4000</v>
      </c>
      <c r="G139" s="369">
        <v>4800</v>
      </c>
      <c r="H139" s="369">
        <v>5200</v>
      </c>
      <c r="I139" s="737" t="s">
        <v>529</v>
      </c>
      <c r="J139" s="737"/>
      <c r="K139" s="737"/>
      <c r="L139" s="737"/>
    </row>
    <row r="140" spans="1:12">
      <c r="B140" s="71" t="s">
        <v>421</v>
      </c>
      <c r="C140" s="71" t="s">
        <v>514</v>
      </c>
      <c r="D140" s="369">
        <v>2045</v>
      </c>
      <c r="E140" s="369">
        <v>3100</v>
      </c>
      <c r="F140" s="369">
        <v>4200</v>
      </c>
      <c r="G140" s="369">
        <v>4900</v>
      </c>
      <c r="H140" s="369">
        <v>5200</v>
      </c>
      <c r="I140" s="737" t="s">
        <v>530</v>
      </c>
      <c r="J140" s="737"/>
      <c r="K140" s="737"/>
      <c r="L140" s="737"/>
    </row>
    <row r="141" spans="1:12">
      <c r="I141" s="385"/>
      <c r="J141" s="385"/>
      <c r="K141" s="385"/>
      <c r="L141" s="385"/>
    </row>
    <row r="142" spans="1:12">
      <c r="I142" s="385"/>
      <c r="J142" s="385"/>
      <c r="K142" s="385"/>
      <c r="L142" s="385"/>
    </row>
    <row r="143" spans="1:12">
      <c r="A143" t="s">
        <v>132</v>
      </c>
      <c r="B143" s="732" t="s">
        <v>531</v>
      </c>
      <c r="C143" s="732"/>
      <c r="D143" s="732"/>
      <c r="E143" s="732"/>
      <c r="F143" s="732"/>
      <c r="G143" s="732"/>
      <c r="H143" s="732"/>
      <c r="I143" s="732"/>
      <c r="J143" s="732"/>
      <c r="K143" s="732"/>
      <c r="L143" s="732"/>
    </row>
    <row r="144" spans="1:12">
      <c r="I144" s="385"/>
      <c r="J144" s="385"/>
      <c r="K144" s="385"/>
      <c r="L144" s="385"/>
    </row>
    <row r="145" spans="1:14" ht="15" customHeight="1">
      <c r="B145" s="743" t="s">
        <v>532</v>
      </c>
      <c r="C145" s="743"/>
      <c r="D145" s="743"/>
      <c r="E145" s="386" t="s">
        <v>533</v>
      </c>
      <c r="F145" s="387">
        <v>6.8000000000000005E-2</v>
      </c>
      <c r="G145" s="742" t="s">
        <v>534</v>
      </c>
      <c r="H145" s="742"/>
      <c r="I145" s="742"/>
      <c r="J145" s="738"/>
      <c r="K145" s="71"/>
      <c r="L145" s="71"/>
    </row>
    <row r="146" spans="1:14">
      <c r="B146" s="743" t="s">
        <v>109</v>
      </c>
      <c r="C146" s="743"/>
      <c r="D146" s="743"/>
      <c r="E146" s="386" t="s">
        <v>533</v>
      </c>
      <c r="F146" s="388">
        <v>5.5E-2</v>
      </c>
      <c r="G146" s="738" t="s">
        <v>535</v>
      </c>
      <c r="H146" s="739"/>
      <c r="I146" s="739"/>
      <c r="J146" s="739"/>
      <c r="K146" s="71"/>
      <c r="L146" s="71"/>
    </row>
    <row r="147" spans="1:14">
      <c r="B147" s="743" t="s">
        <v>536</v>
      </c>
      <c r="C147" s="743"/>
      <c r="D147" s="743"/>
      <c r="E147" s="389" t="s">
        <v>533</v>
      </c>
      <c r="F147" s="390">
        <v>0.95</v>
      </c>
      <c r="G147" s="738" t="s">
        <v>537</v>
      </c>
      <c r="H147" s="739"/>
      <c r="I147" s="739"/>
      <c r="J147" s="739"/>
      <c r="K147" s="71"/>
      <c r="L147" s="71"/>
    </row>
    <row r="148" spans="1:14">
      <c r="B148" s="743" t="s">
        <v>538</v>
      </c>
      <c r="C148" s="743"/>
      <c r="D148" s="743"/>
      <c r="E148" s="386" t="s">
        <v>539</v>
      </c>
      <c r="F148" s="391">
        <f>F145+F147*F146</f>
        <v>0.12025</v>
      </c>
      <c r="G148" s="738" t="s">
        <v>540</v>
      </c>
      <c r="H148" s="739"/>
      <c r="I148" s="739"/>
      <c r="J148" s="739"/>
      <c r="K148" s="71"/>
      <c r="L148" s="71"/>
    </row>
    <row r="149" spans="1:14">
      <c r="B149" s="743" t="s">
        <v>541</v>
      </c>
      <c r="C149" s="743"/>
      <c r="D149" s="743"/>
      <c r="E149" s="386" t="s">
        <v>539</v>
      </c>
      <c r="F149" s="392">
        <f>F145+1.15*F146</f>
        <v>0.13125000000000001</v>
      </c>
      <c r="G149" s="738" t="s">
        <v>542</v>
      </c>
      <c r="H149" s="739"/>
      <c r="I149" s="739"/>
      <c r="J149" s="739"/>
      <c r="K149" s="71"/>
      <c r="L149" s="71"/>
    </row>
    <row r="150" spans="1:14">
      <c r="B150" s="743" t="s">
        <v>543</v>
      </c>
      <c r="C150" s="743"/>
      <c r="D150" s="743"/>
      <c r="E150" s="386" t="s">
        <v>539</v>
      </c>
      <c r="F150" s="393">
        <f>F145+1.3*F146</f>
        <v>0.13950000000000001</v>
      </c>
      <c r="G150" s="738" t="s">
        <v>544</v>
      </c>
      <c r="H150" s="739"/>
      <c r="I150" s="739"/>
      <c r="J150" s="739"/>
      <c r="K150" s="71"/>
      <c r="L150" s="71"/>
    </row>
    <row r="151" spans="1:14">
      <c r="B151" s="743" t="s">
        <v>545</v>
      </c>
      <c r="C151" s="743"/>
      <c r="D151" s="743"/>
      <c r="E151" s="389" t="s">
        <v>539</v>
      </c>
      <c r="F151" s="394">
        <f>F145+0.9*F146</f>
        <v>0.11750000000000001</v>
      </c>
      <c r="G151" s="738" t="s">
        <v>546</v>
      </c>
      <c r="H151" s="739"/>
      <c r="I151" s="739"/>
      <c r="J151" s="739"/>
      <c r="K151" s="71"/>
      <c r="L151" s="71"/>
    </row>
    <row r="152" spans="1:14">
      <c r="B152" s="743" t="s">
        <v>547</v>
      </c>
      <c r="C152" s="743"/>
      <c r="D152" s="743"/>
      <c r="E152" s="386" t="s">
        <v>533</v>
      </c>
      <c r="F152" s="395">
        <v>4.4999999999999998E-2</v>
      </c>
      <c r="G152" s="740" t="s">
        <v>548</v>
      </c>
      <c r="H152" s="741"/>
      <c r="I152" s="741"/>
      <c r="J152" s="741"/>
      <c r="K152" s="71"/>
      <c r="L152" s="71"/>
    </row>
    <row r="153" spans="1:14">
      <c r="B153" s="743" t="s">
        <v>549</v>
      </c>
      <c r="C153" s="743"/>
      <c r="D153" s="743"/>
      <c r="E153" s="386" t="s">
        <v>533</v>
      </c>
      <c r="F153" s="396">
        <v>0.04</v>
      </c>
      <c r="G153" s="738" t="s">
        <v>550</v>
      </c>
      <c r="H153" s="739"/>
      <c r="I153" s="739"/>
      <c r="J153" s="739"/>
      <c r="K153" s="71"/>
      <c r="L153" s="71"/>
    </row>
    <row r="154" spans="1:14">
      <c r="B154" s="743" t="s">
        <v>551</v>
      </c>
      <c r="C154" s="743"/>
      <c r="D154" s="743"/>
      <c r="E154" s="386" t="s">
        <v>533</v>
      </c>
      <c r="F154" s="396">
        <v>5.5E-2</v>
      </c>
      <c r="G154" s="738" t="s">
        <v>552</v>
      </c>
      <c r="H154" s="739"/>
      <c r="I154" s="739"/>
      <c r="J154" s="739"/>
      <c r="K154" s="71"/>
      <c r="L154" s="71"/>
    </row>
    <row r="155" spans="1:14">
      <c r="D155" s="397"/>
      <c r="I155" s="385"/>
      <c r="J155" s="385"/>
      <c r="K155" s="385"/>
      <c r="L155" s="385"/>
    </row>
    <row r="156" spans="1:14">
      <c r="I156" s="385"/>
      <c r="J156" s="385"/>
      <c r="K156" s="385"/>
      <c r="L156" s="385"/>
    </row>
    <row r="157" spans="1:14" ht="15" customHeight="1">
      <c r="A157" t="s">
        <v>132</v>
      </c>
      <c r="B157" s="732" t="s">
        <v>553</v>
      </c>
      <c r="C157" s="732"/>
      <c r="D157" s="732"/>
      <c r="E157" s="732"/>
      <c r="F157" s="732"/>
      <c r="G157" s="732"/>
      <c r="H157" s="732"/>
      <c r="I157" s="732"/>
      <c r="J157" s="732"/>
      <c r="K157" s="732"/>
      <c r="L157" s="732"/>
    </row>
    <row r="158" spans="1:14" ht="15" customHeight="1">
      <c r="B158" s="71" t="s">
        <v>554</v>
      </c>
      <c r="C158" s="71" t="s">
        <v>514</v>
      </c>
      <c r="D158" s="369">
        <v>913.6</v>
      </c>
      <c r="E158" s="369">
        <v>940</v>
      </c>
      <c r="F158" s="369">
        <v>960</v>
      </c>
      <c r="G158" s="369">
        <v>975</v>
      </c>
      <c r="H158" s="369">
        <v>985</v>
      </c>
      <c r="I158" s="745" t="s">
        <v>555</v>
      </c>
      <c r="J158" s="745"/>
      <c r="K158" s="745"/>
      <c r="L158" s="745"/>
      <c r="M158" s="745"/>
      <c r="N158" s="745"/>
    </row>
    <row r="159" spans="1:14" ht="15" customHeight="1">
      <c r="D159" s="369"/>
      <c r="E159" s="369"/>
      <c r="F159" s="369"/>
      <c r="G159" s="369"/>
      <c r="H159" s="369"/>
      <c r="I159" s="614"/>
      <c r="J159" s="614"/>
      <c r="K159" s="614"/>
      <c r="L159" s="614"/>
      <c r="M159" s="45"/>
      <c r="N159" s="45"/>
    </row>
    <row r="160" spans="1:14" ht="15" customHeight="1">
      <c r="B160" s="593" t="s">
        <v>556</v>
      </c>
      <c r="C160" s="398"/>
      <c r="D160" s="398"/>
      <c r="E160" s="398"/>
      <c r="F160" s="398"/>
      <c r="G160" s="398"/>
      <c r="H160" s="398"/>
      <c r="I160" s="398"/>
      <c r="J160" s="398"/>
      <c r="K160" s="398"/>
      <c r="L160" s="398"/>
      <c r="M160" s="45"/>
      <c r="N160" s="45"/>
    </row>
    <row r="161" spans="2:14" ht="15" customHeight="1">
      <c r="B161" s="301" t="s">
        <v>557</v>
      </c>
      <c r="C161" s="399" t="s">
        <v>514</v>
      </c>
      <c r="D161" s="103">
        <v>0.497</v>
      </c>
      <c r="E161" s="103">
        <v>0.496</v>
      </c>
      <c r="F161" s="103">
        <v>0.496</v>
      </c>
      <c r="G161" s="103">
        <v>0.497</v>
      </c>
      <c r="H161" s="103">
        <v>0.496</v>
      </c>
      <c r="I161" s="400" t="s">
        <v>558</v>
      </c>
      <c r="J161" s="614"/>
      <c r="K161" s="614"/>
      <c r="L161" s="614"/>
      <c r="M161" s="45"/>
      <c r="N161" s="45"/>
    </row>
    <row r="162" spans="2:14" ht="15" customHeight="1">
      <c r="B162" s="301" t="s">
        <v>559</v>
      </c>
      <c r="C162" s="399" t="s">
        <v>514</v>
      </c>
      <c r="D162" s="103">
        <v>8.6999999999999994E-2</v>
      </c>
      <c r="E162" s="103">
        <v>7.2999999999999995E-2</v>
      </c>
      <c r="F162" s="103">
        <v>6.3E-2</v>
      </c>
      <c r="G162" s="103">
        <v>5.5E-2</v>
      </c>
      <c r="H162" s="103">
        <v>5.0999999999999997E-2</v>
      </c>
      <c r="I162" s="400" t="s">
        <v>560</v>
      </c>
      <c r="J162" s="614"/>
      <c r="K162" s="614"/>
      <c r="L162" s="614"/>
      <c r="M162" s="45"/>
      <c r="N162" s="45"/>
    </row>
    <row r="163" spans="2:14" ht="15" customHeight="1">
      <c r="B163" s="301" t="s">
        <v>561</v>
      </c>
      <c r="C163" s="399" t="s">
        <v>514</v>
      </c>
      <c r="D163" s="301">
        <v>798</v>
      </c>
      <c r="E163" s="301">
        <v>900</v>
      </c>
      <c r="F163" s="301">
        <v>950</v>
      </c>
      <c r="G163" s="301">
        <v>900</v>
      </c>
      <c r="H163" s="301">
        <v>850</v>
      </c>
      <c r="I163" s="400" t="s">
        <v>562</v>
      </c>
      <c r="J163" s="614"/>
      <c r="K163" s="614"/>
      <c r="L163" s="614"/>
      <c r="M163" s="45"/>
      <c r="N163" s="45"/>
    </row>
    <row r="164" spans="2:14" ht="15" customHeight="1">
      <c r="B164" s="301" t="s">
        <v>563</v>
      </c>
      <c r="C164" s="399" t="s">
        <v>514</v>
      </c>
      <c r="D164" s="103">
        <v>9.7000000000000003E-2</v>
      </c>
      <c r="E164" s="103">
        <v>0.09</v>
      </c>
      <c r="F164" s="103">
        <v>8.5000000000000006E-2</v>
      </c>
      <c r="G164" s="103">
        <v>0.08</v>
      </c>
      <c r="H164" s="103">
        <v>7.4999999999999997E-2</v>
      </c>
      <c r="I164" s="400" t="s">
        <v>564</v>
      </c>
      <c r="J164" s="614"/>
      <c r="K164" s="614"/>
      <c r="L164" s="614"/>
      <c r="M164" s="45"/>
      <c r="N164" s="45"/>
    </row>
    <row r="165" spans="2:14" ht="15" customHeight="1">
      <c r="B165" s="301" t="s">
        <v>565</v>
      </c>
      <c r="C165" s="399" t="s">
        <v>514</v>
      </c>
      <c r="D165" s="103">
        <v>3.2000000000000001E-2</v>
      </c>
      <c r="E165" s="103">
        <v>0.03</v>
      </c>
      <c r="F165" s="103">
        <v>2.8000000000000001E-2</v>
      </c>
      <c r="G165" s="103">
        <v>2.5999999999999999E-2</v>
      </c>
      <c r="H165" s="103">
        <v>2.5000000000000001E-2</v>
      </c>
      <c r="I165" s="400" t="s">
        <v>566</v>
      </c>
      <c r="J165" s="614"/>
      <c r="K165" s="614"/>
      <c r="L165" s="614"/>
      <c r="M165" s="45"/>
      <c r="N165" s="45"/>
    </row>
    <row r="166" spans="2:14" ht="15" customHeight="1">
      <c r="B166" s="301" t="s">
        <v>567</v>
      </c>
      <c r="C166" s="399" t="s">
        <v>514</v>
      </c>
      <c r="D166" s="103">
        <v>7.0000000000000007E-2</v>
      </c>
      <c r="E166" s="103">
        <v>7.0000000000000007E-2</v>
      </c>
      <c r="F166" s="103">
        <v>7.0000000000000007E-2</v>
      </c>
      <c r="G166" s="103">
        <v>7.0000000000000007E-2</v>
      </c>
      <c r="H166" s="103">
        <v>7.0000000000000007E-2</v>
      </c>
      <c r="I166" s="400" t="s">
        <v>568</v>
      </c>
      <c r="J166" s="614"/>
      <c r="K166" s="614"/>
      <c r="L166" s="614"/>
      <c r="M166" s="45"/>
      <c r="N166" s="45"/>
    </row>
    <row r="167" spans="2:14" ht="15" customHeight="1">
      <c r="B167" s="301" t="s">
        <v>569</v>
      </c>
      <c r="C167" s="399" t="s">
        <v>514</v>
      </c>
      <c r="D167" s="103">
        <v>8.5000000000000006E-2</v>
      </c>
      <c r="E167" s="103">
        <v>8.5000000000000006E-2</v>
      </c>
      <c r="F167" s="103">
        <v>8.5000000000000006E-2</v>
      </c>
      <c r="G167" s="103">
        <v>8.5000000000000006E-2</v>
      </c>
      <c r="H167" s="103">
        <v>8.5000000000000006E-2</v>
      </c>
      <c r="I167" s="400" t="s">
        <v>570</v>
      </c>
      <c r="J167" s="614"/>
      <c r="K167" s="614"/>
      <c r="L167" s="614"/>
      <c r="M167" s="45"/>
      <c r="N167" s="45"/>
    </row>
    <row r="168" spans="2:14" ht="15" customHeight="1">
      <c r="B168" s="301" t="s">
        <v>571</v>
      </c>
      <c r="C168" s="399" t="s">
        <v>514</v>
      </c>
      <c r="D168" s="99">
        <v>4</v>
      </c>
      <c r="E168" s="99">
        <v>5</v>
      </c>
      <c r="F168" s="99">
        <v>5</v>
      </c>
      <c r="G168" s="99">
        <v>5</v>
      </c>
      <c r="H168" s="99">
        <v>5</v>
      </c>
      <c r="I168" s="400" t="s">
        <v>572</v>
      </c>
      <c r="J168" s="614"/>
      <c r="K168" s="614"/>
      <c r="L168" s="614"/>
      <c r="M168" s="45"/>
      <c r="N168" s="45"/>
    </row>
    <row r="169" spans="2:14" ht="15" customHeight="1">
      <c r="B169" s="301" t="s">
        <v>183</v>
      </c>
      <c r="C169" s="399" t="s">
        <v>514</v>
      </c>
      <c r="D169" s="99">
        <v>0</v>
      </c>
      <c r="E169" s="99">
        <v>0</v>
      </c>
      <c r="F169" s="99">
        <v>0</v>
      </c>
      <c r="G169" s="99">
        <v>0</v>
      </c>
      <c r="H169" s="99">
        <v>0</v>
      </c>
      <c r="I169" s="400" t="s">
        <v>573</v>
      </c>
      <c r="J169" s="614"/>
      <c r="K169" s="614"/>
      <c r="L169" s="614"/>
      <c r="M169" s="45"/>
      <c r="N169" s="45"/>
    </row>
    <row r="170" spans="2:14" ht="15" customHeight="1">
      <c r="B170" s="310" t="s">
        <v>574</v>
      </c>
      <c r="C170" s="401" t="s">
        <v>514</v>
      </c>
      <c r="D170" s="107">
        <v>-97</v>
      </c>
      <c r="E170" s="107">
        <v>-64</v>
      </c>
      <c r="F170" s="107">
        <v>-51</v>
      </c>
      <c r="G170" s="107">
        <v>-46</v>
      </c>
      <c r="H170" s="107">
        <v>-46</v>
      </c>
      <c r="I170" s="402" t="s">
        <v>575</v>
      </c>
      <c r="J170" s="614"/>
      <c r="K170" s="614"/>
      <c r="L170" s="614"/>
      <c r="M170" s="45"/>
      <c r="N170" s="45"/>
    </row>
    <row r="171" spans="2:14" ht="15" customHeight="1">
      <c r="B171" s="297" t="s">
        <v>554</v>
      </c>
      <c r="C171" s="403" t="s">
        <v>514</v>
      </c>
      <c r="D171" s="594">
        <v>924</v>
      </c>
      <c r="E171" s="594">
        <v>940</v>
      </c>
      <c r="F171" s="594">
        <v>960</v>
      </c>
      <c r="G171" s="594">
        <v>975</v>
      </c>
      <c r="H171" s="594">
        <v>985</v>
      </c>
      <c r="I171" s="405" t="s">
        <v>576</v>
      </c>
      <c r="J171" s="614"/>
      <c r="K171" s="614"/>
      <c r="L171" s="614"/>
      <c r="M171" s="45"/>
      <c r="N171" s="45"/>
    </row>
    <row r="172" spans="2:14" ht="15" customHeight="1">
      <c r="B172" s="310"/>
      <c r="C172" s="401"/>
      <c r="D172" s="100"/>
      <c r="E172" s="100"/>
      <c r="F172" s="100"/>
      <c r="G172" s="100"/>
      <c r="H172" s="100"/>
      <c r="I172" s="402"/>
      <c r="J172" s="614"/>
      <c r="K172" s="614"/>
      <c r="L172" s="614"/>
      <c r="M172" s="45"/>
      <c r="N172" s="45"/>
    </row>
    <row r="173" spans="2:14" ht="15" customHeight="1">
      <c r="D173" s="406"/>
      <c r="E173" s="406"/>
      <c r="F173" s="406"/>
      <c r="G173" s="406"/>
      <c r="H173" s="406"/>
      <c r="I173" s="614"/>
      <c r="J173" s="614"/>
      <c r="K173" s="614"/>
      <c r="L173" s="614"/>
      <c r="M173" s="45"/>
      <c r="N173" s="45"/>
    </row>
    <row r="174" spans="2:14">
      <c r="B174" s="746" t="s">
        <v>577</v>
      </c>
      <c r="C174" s="746"/>
      <c r="D174" s="746"/>
      <c r="E174" s="407"/>
      <c r="F174" s="407"/>
      <c r="G174" s="407"/>
      <c r="H174" s="407"/>
      <c r="I174" s="628"/>
      <c r="J174" s="628"/>
      <c r="K174" s="628"/>
      <c r="L174" s="628"/>
    </row>
    <row r="175" spans="2:14">
      <c r="B175" s="627" t="s">
        <v>578</v>
      </c>
      <c r="C175" s="399" t="s">
        <v>514</v>
      </c>
      <c r="D175" s="99">
        <v>51</v>
      </c>
      <c r="E175" s="99">
        <v>60</v>
      </c>
      <c r="F175" s="99">
        <v>70</v>
      </c>
      <c r="G175" s="99">
        <v>65</v>
      </c>
      <c r="H175" s="99">
        <v>50</v>
      </c>
      <c r="I175" s="400" t="s">
        <v>579</v>
      </c>
    </row>
    <row r="176" spans="2:14">
      <c r="B176" s="627" t="s">
        <v>580</v>
      </c>
      <c r="C176" s="399" t="s">
        <v>514</v>
      </c>
      <c r="D176" s="99">
        <v>2744</v>
      </c>
      <c r="E176" s="99">
        <v>3200</v>
      </c>
      <c r="F176" s="99">
        <v>3900</v>
      </c>
      <c r="G176" s="99">
        <v>4500</v>
      </c>
      <c r="H176" s="99">
        <v>5000</v>
      </c>
      <c r="I176" s="400" t="s">
        <v>581</v>
      </c>
    </row>
    <row r="177" spans="2:12">
      <c r="B177" s="627" t="s">
        <v>582</v>
      </c>
      <c r="C177" s="399" t="s">
        <v>514</v>
      </c>
      <c r="D177" s="99">
        <v>129</v>
      </c>
      <c r="E177" s="99">
        <v>193</v>
      </c>
      <c r="F177" s="99">
        <v>244</v>
      </c>
      <c r="G177" s="99">
        <v>290</v>
      </c>
      <c r="H177" s="99">
        <v>336</v>
      </c>
      <c r="I177" s="400" t="s">
        <v>583</v>
      </c>
    </row>
    <row r="178" spans="2:12">
      <c r="B178" s="627" t="s">
        <v>203</v>
      </c>
      <c r="C178" s="399" t="s">
        <v>514</v>
      </c>
      <c r="D178" s="99">
        <v>546</v>
      </c>
      <c r="E178" s="99">
        <v>650</v>
      </c>
      <c r="F178" s="99">
        <v>700</v>
      </c>
      <c r="G178" s="99">
        <v>720</v>
      </c>
      <c r="H178" s="99">
        <v>700</v>
      </c>
      <c r="I178" s="400" t="s">
        <v>584</v>
      </c>
    </row>
    <row r="179" spans="2:12">
      <c r="B179" s="627" t="s">
        <v>585</v>
      </c>
      <c r="C179" s="399" t="s">
        <v>514</v>
      </c>
      <c r="D179" s="99">
        <v>2272</v>
      </c>
      <c r="E179" s="99">
        <v>2100</v>
      </c>
      <c r="F179" s="99">
        <v>1800</v>
      </c>
      <c r="G179" s="99">
        <v>1600</v>
      </c>
      <c r="H179" s="99">
        <v>1500</v>
      </c>
      <c r="I179" s="400" t="s">
        <v>586</v>
      </c>
    </row>
    <row r="180" spans="2:12">
      <c r="B180" s="627" t="s">
        <v>587</v>
      </c>
      <c r="C180" s="399" t="s">
        <v>514</v>
      </c>
      <c r="D180" s="99">
        <v>2948</v>
      </c>
      <c r="E180" s="99">
        <v>3000</v>
      </c>
      <c r="F180" s="99">
        <v>2500</v>
      </c>
      <c r="G180" s="99">
        <v>2200</v>
      </c>
      <c r="H180" s="99">
        <v>2000</v>
      </c>
      <c r="I180" s="400" t="s">
        <v>588</v>
      </c>
    </row>
    <row r="181" spans="2:12">
      <c r="B181" s="627" t="s">
        <v>589</v>
      </c>
      <c r="C181" s="399" t="s">
        <v>514</v>
      </c>
      <c r="D181" s="99">
        <v>2769</v>
      </c>
      <c r="E181" s="99">
        <v>3200</v>
      </c>
      <c r="F181" s="99">
        <v>4000</v>
      </c>
      <c r="G181" s="99">
        <v>4800</v>
      </c>
      <c r="H181" s="99">
        <v>5500</v>
      </c>
      <c r="I181" s="400" t="s">
        <v>590</v>
      </c>
    </row>
    <row r="182" spans="2:12">
      <c r="B182" s="627" t="s">
        <v>591</v>
      </c>
      <c r="C182" s="399" t="s">
        <v>514</v>
      </c>
      <c r="D182" s="99">
        <v>924</v>
      </c>
      <c r="E182" s="99">
        <v>1100</v>
      </c>
      <c r="F182" s="99">
        <v>1400</v>
      </c>
      <c r="G182" s="99">
        <v>1700</v>
      </c>
      <c r="H182" s="99">
        <v>2000</v>
      </c>
      <c r="I182" s="400" t="s">
        <v>592</v>
      </c>
    </row>
    <row r="183" spans="2:12">
      <c r="B183" s="627" t="s">
        <v>215</v>
      </c>
      <c r="C183" s="399" t="s">
        <v>514</v>
      </c>
      <c r="D183" s="99">
        <v>907</v>
      </c>
      <c r="E183" s="99">
        <v>940</v>
      </c>
      <c r="F183" s="99">
        <v>957</v>
      </c>
      <c r="G183" s="99">
        <v>967</v>
      </c>
      <c r="H183" s="99">
        <v>977</v>
      </c>
      <c r="I183" s="400" t="s">
        <v>593</v>
      </c>
    </row>
    <row r="184" spans="2:12">
      <c r="B184" s="627" t="s">
        <v>222</v>
      </c>
      <c r="C184" s="399" t="s">
        <v>514</v>
      </c>
      <c r="D184" s="99">
        <v>212</v>
      </c>
      <c r="E184" s="99">
        <v>178</v>
      </c>
      <c r="F184" s="99">
        <v>148</v>
      </c>
      <c r="G184" s="99">
        <v>118</v>
      </c>
      <c r="H184" s="99">
        <v>88</v>
      </c>
      <c r="I184" s="400" t="s">
        <v>594</v>
      </c>
    </row>
    <row r="185" spans="2:12">
      <c r="B185" s="627" t="s">
        <v>595</v>
      </c>
      <c r="C185" s="399" t="s">
        <v>514</v>
      </c>
      <c r="D185" s="99">
        <v>120</v>
      </c>
      <c r="E185" s="99">
        <v>140</v>
      </c>
      <c r="F185" s="99">
        <v>165</v>
      </c>
      <c r="G185" s="99">
        <v>185</v>
      </c>
      <c r="H185" s="99">
        <v>205</v>
      </c>
      <c r="I185" s="400" t="s">
        <v>596</v>
      </c>
    </row>
    <row r="186" spans="2:12">
      <c r="B186" s="627" t="s">
        <v>597</v>
      </c>
      <c r="C186" s="399" t="s">
        <v>514</v>
      </c>
      <c r="D186" s="99">
        <v>1</v>
      </c>
      <c r="E186" s="99">
        <v>2</v>
      </c>
      <c r="F186" s="99">
        <v>2</v>
      </c>
      <c r="G186" s="99">
        <v>2</v>
      </c>
      <c r="H186" s="99">
        <v>2</v>
      </c>
      <c r="I186" s="400" t="s">
        <v>598</v>
      </c>
    </row>
    <row r="187" spans="2:12">
      <c r="B187" s="627" t="s">
        <v>599</v>
      </c>
      <c r="C187" s="399" t="s">
        <v>514</v>
      </c>
      <c r="D187" s="99">
        <v>75</v>
      </c>
      <c r="E187" s="99">
        <v>150</v>
      </c>
      <c r="F187" s="99">
        <v>200</v>
      </c>
      <c r="G187" s="99">
        <v>250</v>
      </c>
      <c r="H187" s="99">
        <v>300</v>
      </c>
      <c r="I187" s="400" t="s">
        <v>600</v>
      </c>
    </row>
    <row r="188" spans="2:12">
      <c r="B188" s="212" t="s">
        <v>601</v>
      </c>
      <c r="C188" s="401" t="s">
        <v>514</v>
      </c>
      <c r="D188" s="100">
        <v>913</v>
      </c>
      <c r="E188" s="100">
        <v>1200</v>
      </c>
      <c r="F188" s="100">
        <v>1600</v>
      </c>
      <c r="G188" s="100">
        <v>2000</v>
      </c>
      <c r="H188" s="100">
        <v>2400</v>
      </c>
      <c r="I188" s="402" t="s">
        <v>602</v>
      </c>
    </row>
    <row r="189" spans="2:12">
      <c r="B189" s="307" t="s">
        <v>603</v>
      </c>
      <c r="C189" s="403" t="s">
        <v>514</v>
      </c>
      <c r="D189" s="404">
        <v>486</v>
      </c>
      <c r="E189" s="404">
        <v>550</v>
      </c>
      <c r="F189" s="404">
        <v>720</v>
      </c>
      <c r="G189" s="404">
        <v>880</v>
      </c>
      <c r="H189" s="404">
        <v>1000</v>
      </c>
      <c r="I189" s="405" t="s">
        <v>604</v>
      </c>
    </row>
    <row r="190" spans="2:12">
      <c r="B190" s="627"/>
      <c r="C190" s="399"/>
      <c r="D190" s="301"/>
      <c r="E190" s="301"/>
      <c r="F190" s="301"/>
      <c r="G190" s="301"/>
      <c r="H190" s="92"/>
      <c r="I190" s="400"/>
    </row>
    <row r="191" spans="2:12">
      <c r="B191" s="727" t="s">
        <v>236</v>
      </c>
      <c r="C191" s="744"/>
      <c r="D191" s="744"/>
      <c r="E191" s="744"/>
      <c r="F191" s="744"/>
      <c r="G191" s="744"/>
      <c r="H191" s="744"/>
      <c r="I191" s="744"/>
      <c r="J191" s="744"/>
      <c r="K191" s="744"/>
      <c r="L191" s="744"/>
    </row>
    <row r="192" spans="2:12">
      <c r="B192" s="627"/>
      <c r="C192" s="399"/>
      <c r="D192" s="301"/>
      <c r="E192" s="301"/>
      <c r="F192" s="301"/>
      <c r="G192" s="301"/>
      <c r="H192" s="92"/>
      <c r="I192" s="400"/>
    </row>
    <row r="193" spans="2:9">
      <c r="B193" s="484" t="s">
        <v>605</v>
      </c>
      <c r="D193" s="71"/>
      <c r="E193" s="71"/>
      <c r="F193" s="71"/>
      <c r="G193" s="71"/>
      <c r="H193" s="71"/>
      <c r="I193" s="624"/>
    </row>
    <row r="194" spans="2:9">
      <c r="B194" s="627" t="s">
        <v>606</v>
      </c>
      <c r="C194" s="399" t="s">
        <v>514</v>
      </c>
      <c r="D194" s="88">
        <v>-10</v>
      </c>
      <c r="E194" s="88">
        <v>-10</v>
      </c>
      <c r="F194" s="88">
        <v>-10</v>
      </c>
      <c r="G194" s="88">
        <v>-10</v>
      </c>
      <c r="H194" s="88">
        <v>-10</v>
      </c>
      <c r="I194" s="400" t="s">
        <v>607</v>
      </c>
    </row>
    <row r="195" spans="2:9">
      <c r="B195" s="627" t="s">
        <v>608</v>
      </c>
      <c r="C195" s="399" t="s">
        <v>514</v>
      </c>
      <c r="D195" s="88">
        <v>71</v>
      </c>
      <c r="E195" s="88">
        <v>75</v>
      </c>
      <c r="F195" s="88">
        <v>85</v>
      </c>
      <c r="G195" s="88">
        <v>90</v>
      </c>
      <c r="H195" s="88">
        <v>95</v>
      </c>
      <c r="I195" s="400" t="s">
        <v>609</v>
      </c>
    </row>
    <row r="196" spans="2:9">
      <c r="B196" s="627" t="s">
        <v>610</v>
      </c>
      <c r="C196" s="399" t="s">
        <v>514</v>
      </c>
      <c r="D196" s="88">
        <v>-3</v>
      </c>
      <c r="E196" s="88">
        <v>-3</v>
      </c>
      <c r="F196" s="88">
        <v>-3</v>
      </c>
      <c r="G196" s="88">
        <v>-3</v>
      </c>
      <c r="H196" s="88">
        <v>-3</v>
      </c>
      <c r="I196" s="400" t="s">
        <v>611</v>
      </c>
    </row>
    <row r="197" spans="2:9">
      <c r="B197" s="627" t="s">
        <v>612</v>
      </c>
      <c r="C197" s="399" t="s">
        <v>514</v>
      </c>
      <c r="D197" s="88">
        <v>-151</v>
      </c>
      <c r="E197" s="88">
        <v>-145</v>
      </c>
      <c r="F197" s="88">
        <v>-130</v>
      </c>
      <c r="G197" s="88">
        <v>-110</v>
      </c>
      <c r="H197" s="88">
        <v>-90</v>
      </c>
      <c r="I197" s="400" t="s">
        <v>613</v>
      </c>
    </row>
    <row r="198" spans="2:9">
      <c r="B198" s="627" t="s">
        <v>614</v>
      </c>
      <c r="C198" s="399" t="s">
        <v>514</v>
      </c>
      <c r="D198" s="88">
        <v>-100</v>
      </c>
      <c r="E198" s="88">
        <v>-90</v>
      </c>
      <c r="F198" s="88">
        <v>-75</v>
      </c>
      <c r="G198" s="88">
        <v>-55</v>
      </c>
      <c r="H198" s="88">
        <v>-40</v>
      </c>
      <c r="I198" s="400" t="s">
        <v>615</v>
      </c>
    </row>
    <row r="199" spans="2:9">
      <c r="B199" s="627" t="s">
        <v>616</v>
      </c>
      <c r="C199" s="399" t="s">
        <v>514</v>
      </c>
      <c r="D199" s="88">
        <v>-436</v>
      </c>
      <c r="E199" s="88">
        <v>-380</v>
      </c>
      <c r="F199" s="88">
        <v>-300</v>
      </c>
      <c r="G199" s="88">
        <v>-240</v>
      </c>
      <c r="H199" s="88">
        <v>-180</v>
      </c>
      <c r="I199" s="400" t="s">
        <v>617</v>
      </c>
    </row>
    <row r="200" spans="2:9">
      <c r="B200" s="627" t="s">
        <v>618</v>
      </c>
      <c r="C200" s="399" t="s">
        <v>514</v>
      </c>
      <c r="D200" s="88">
        <v>-89</v>
      </c>
      <c r="E200" s="88">
        <v>-80</v>
      </c>
      <c r="F200" s="88">
        <v>-70</v>
      </c>
      <c r="G200" s="88">
        <v>-55</v>
      </c>
      <c r="H200" s="88">
        <v>-40</v>
      </c>
      <c r="I200" s="400" t="s">
        <v>619</v>
      </c>
    </row>
    <row r="201" spans="2:9">
      <c r="B201" s="627" t="s">
        <v>620</v>
      </c>
      <c r="C201" s="399" t="s">
        <v>514</v>
      </c>
      <c r="D201" s="88">
        <v>-4</v>
      </c>
      <c r="E201" s="88">
        <v>-4</v>
      </c>
      <c r="F201" s="88">
        <v>-3</v>
      </c>
      <c r="G201" s="88">
        <v>-2</v>
      </c>
      <c r="H201" s="88">
        <v>-1</v>
      </c>
      <c r="I201" s="400" t="s">
        <v>621</v>
      </c>
    </row>
    <row r="202" spans="2:9">
      <c r="B202" s="627" t="s">
        <v>622</v>
      </c>
      <c r="C202" s="399" t="s">
        <v>514</v>
      </c>
      <c r="D202" s="88">
        <v>4</v>
      </c>
      <c r="E202" s="88">
        <v>5</v>
      </c>
      <c r="F202" s="88">
        <v>5</v>
      </c>
      <c r="G202" s="88">
        <v>5</v>
      </c>
      <c r="H202" s="88">
        <v>5</v>
      </c>
      <c r="I202" s="400" t="s">
        <v>623</v>
      </c>
    </row>
    <row r="203" spans="2:9">
      <c r="B203" s="212" t="s">
        <v>624</v>
      </c>
      <c r="C203" s="401" t="s">
        <v>514</v>
      </c>
      <c r="D203" s="107">
        <v>-262</v>
      </c>
      <c r="E203" s="107">
        <v>-230</v>
      </c>
      <c r="F203" s="107">
        <v>-195</v>
      </c>
      <c r="G203" s="107">
        <v>-155</v>
      </c>
      <c r="H203" s="107">
        <v>-120</v>
      </c>
      <c r="I203" s="402" t="s">
        <v>625</v>
      </c>
    </row>
    <row r="204" spans="2:9">
      <c r="B204" s="797" t="s">
        <v>626</v>
      </c>
      <c r="C204" s="798" t="s">
        <v>514</v>
      </c>
      <c r="D204" s="799">
        <v>-17</v>
      </c>
      <c r="E204" s="799">
        <v>-15</v>
      </c>
      <c r="F204" s="799">
        <v>-12</v>
      </c>
      <c r="G204" s="799">
        <v>-10</v>
      </c>
      <c r="H204" s="799">
        <v>-8</v>
      </c>
      <c r="I204" s="800" t="s">
        <v>627</v>
      </c>
    </row>
    <row r="205" spans="2:9">
      <c r="B205" s="627"/>
      <c r="C205" s="399"/>
      <c r="D205" s="88"/>
      <c r="E205" s="88"/>
      <c r="F205" s="88"/>
      <c r="G205" s="88"/>
      <c r="H205" s="88"/>
      <c r="I205" s="400"/>
    </row>
    <row r="206" spans="2:9">
      <c r="B206" s="484" t="s">
        <v>628</v>
      </c>
      <c r="D206" s="408"/>
      <c r="E206" s="408"/>
      <c r="F206" s="408"/>
      <c r="G206" s="408"/>
      <c r="H206" s="408"/>
      <c r="I206" s="624"/>
    </row>
    <row r="207" spans="2:9">
      <c r="B207" s="627" t="s">
        <v>629</v>
      </c>
      <c r="C207" s="399" t="s">
        <v>514</v>
      </c>
      <c r="D207" s="88">
        <v>-226</v>
      </c>
      <c r="E207" s="88">
        <v>-431</v>
      </c>
      <c r="F207" s="88">
        <v>-800</v>
      </c>
      <c r="G207" s="88">
        <v>-800</v>
      </c>
      <c r="H207" s="88">
        <v>-700</v>
      </c>
      <c r="I207" s="400" t="s">
        <v>630</v>
      </c>
    </row>
    <row r="208" spans="2:9">
      <c r="B208" s="627" t="s">
        <v>631</v>
      </c>
      <c r="C208" s="399" t="s">
        <v>514</v>
      </c>
      <c r="D208" s="88">
        <v>-586</v>
      </c>
      <c r="E208" s="88">
        <v>-176</v>
      </c>
      <c r="F208" s="88">
        <v>-300</v>
      </c>
      <c r="G208" s="88">
        <v>-300</v>
      </c>
      <c r="H208" s="88">
        <v>-300</v>
      </c>
      <c r="I208" s="400" t="s">
        <v>632</v>
      </c>
    </row>
    <row r="209" spans="2:9">
      <c r="B209" s="212" t="s">
        <v>633</v>
      </c>
      <c r="C209" s="401" t="s">
        <v>514</v>
      </c>
      <c r="D209" s="107">
        <v>274</v>
      </c>
      <c r="E209" s="107">
        <v>474</v>
      </c>
      <c r="F209" s="107">
        <v>840</v>
      </c>
      <c r="G209" s="107">
        <v>1200</v>
      </c>
      <c r="H209" s="107">
        <v>1200</v>
      </c>
      <c r="I209" s="402" t="s">
        <v>634</v>
      </c>
    </row>
    <row r="210" spans="2:9">
      <c r="B210" s="797" t="s">
        <v>635</v>
      </c>
      <c r="C210" s="798" t="s">
        <v>514</v>
      </c>
      <c r="D210" s="799">
        <v>21</v>
      </c>
      <c r="E210" s="799">
        <v>26</v>
      </c>
      <c r="F210" s="799">
        <v>33</v>
      </c>
      <c r="G210" s="799">
        <v>27</v>
      </c>
      <c r="H210" s="799">
        <v>25</v>
      </c>
      <c r="I210" s="800" t="s">
        <v>636</v>
      </c>
    </row>
    <row r="211" spans="2:9">
      <c r="B211" s="627"/>
      <c r="C211" s="399"/>
      <c r="D211" s="88"/>
      <c r="E211" s="88"/>
      <c r="F211" s="88"/>
      <c r="G211" s="88"/>
      <c r="H211" s="88"/>
      <c r="I211" s="400"/>
    </row>
    <row r="212" spans="2:9">
      <c r="B212" s="484" t="s">
        <v>637</v>
      </c>
      <c r="D212" s="408"/>
      <c r="E212" s="408"/>
      <c r="F212" s="408"/>
      <c r="G212" s="408"/>
      <c r="H212" s="408"/>
      <c r="I212" s="624"/>
    </row>
    <row r="213" spans="2:9">
      <c r="B213" s="627" t="s">
        <v>638</v>
      </c>
      <c r="C213" s="399" t="s">
        <v>514</v>
      </c>
      <c r="D213" s="88">
        <v>-7697</v>
      </c>
      <c r="E213" s="88">
        <v>-2000</v>
      </c>
      <c r="F213" s="88">
        <v>-1500</v>
      </c>
      <c r="G213" s="88">
        <v>-1500</v>
      </c>
      <c r="H213" s="88">
        <v>-1200</v>
      </c>
      <c r="I213" s="400" t="s">
        <v>639</v>
      </c>
    </row>
    <row r="214" spans="2:9">
      <c r="B214" s="627" t="s">
        <v>640</v>
      </c>
      <c r="C214" s="399" t="s">
        <v>514</v>
      </c>
      <c r="D214" s="88">
        <v>2942</v>
      </c>
      <c r="E214" s="88">
        <v>1500</v>
      </c>
      <c r="F214" s="88">
        <v>1300</v>
      </c>
      <c r="G214" s="88">
        <v>1200</v>
      </c>
      <c r="H214" s="88">
        <v>1000</v>
      </c>
      <c r="I214" s="400" t="s">
        <v>641</v>
      </c>
    </row>
    <row r="215" spans="2:9">
      <c r="B215" s="627" t="s">
        <v>642</v>
      </c>
      <c r="C215" s="399" t="s">
        <v>514</v>
      </c>
      <c r="D215" s="88">
        <v>46738</v>
      </c>
      <c r="E215" s="88">
        <v>18800</v>
      </c>
      <c r="F215" s="88">
        <v>16900</v>
      </c>
      <c r="G215" s="88">
        <v>13000</v>
      </c>
      <c r="H215" s="88">
        <v>10500</v>
      </c>
      <c r="I215" s="400" t="s">
        <v>643</v>
      </c>
    </row>
    <row r="216" spans="2:9">
      <c r="B216" s="627" t="s">
        <v>644</v>
      </c>
      <c r="C216" s="399" t="s">
        <v>514</v>
      </c>
      <c r="D216" s="88">
        <v>-47326</v>
      </c>
      <c r="E216" s="88">
        <v>-18446</v>
      </c>
      <c r="F216" s="88">
        <v>-17163</v>
      </c>
      <c r="G216" s="88">
        <v>-13967</v>
      </c>
      <c r="H216" s="88">
        <v>-11627</v>
      </c>
      <c r="I216" s="400" t="s">
        <v>645</v>
      </c>
    </row>
    <row r="217" spans="2:9">
      <c r="B217" s="627" t="s">
        <v>646</v>
      </c>
      <c r="C217" s="399" t="s">
        <v>514</v>
      </c>
      <c r="D217" s="88">
        <v>-648</v>
      </c>
      <c r="E217" s="88">
        <v>-200</v>
      </c>
      <c r="F217" s="88">
        <v>-150</v>
      </c>
      <c r="G217" s="88">
        <v>0</v>
      </c>
      <c r="H217" s="88">
        <v>0</v>
      </c>
      <c r="I217" s="400" t="s">
        <v>647</v>
      </c>
    </row>
    <row r="218" spans="2:9">
      <c r="B218" s="627" t="s">
        <v>648</v>
      </c>
      <c r="C218" s="399" t="s">
        <v>514</v>
      </c>
      <c r="D218" s="88">
        <v>65</v>
      </c>
      <c r="E218" s="88">
        <v>150</v>
      </c>
      <c r="F218" s="88">
        <v>150</v>
      </c>
      <c r="G218" s="88">
        <v>0</v>
      </c>
      <c r="H218" s="88">
        <v>0</v>
      </c>
      <c r="I218" s="400" t="s">
        <v>649</v>
      </c>
    </row>
    <row r="219" spans="2:9">
      <c r="B219" s="627" t="s">
        <v>650</v>
      </c>
      <c r="C219" s="399" t="s">
        <v>514</v>
      </c>
      <c r="D219" s="88">
        <v>50</v>
      </c>
      <c r="E219" s="88">
        <v>50</v>
      </c>
      <c r="F219" s="88">
        <v>0</v>
      </c>
      <c r="G219" s="88">
        <v>0</v>
      </c>
      <c r="H219" s="88">
        <v>0</v>
      </c>
      <c r="I219" s="400" t="s">
        <v>651</v>
      </c>
    </row>
    <row r="220" spans="2:9">
      <c r="B220" s="212" t="s">
        <v>652</v>
      </c>
      <c r="C220" s="401" t="s">
        <v>514</v>
      </c>
      <c r="D220" s="107">
        <v>819</v>
      </c>
      <c r="E220" s="107">
        <v>805</v>
      </c>
      <c r="F220" s="107">
        <v>770</v>
      </c>
      <c r="G220" s="107">
        <v>665</v>
      </c>
      <c r="H220" s="107">
        <v>595</v>
      </c>
      <c r="I220" s="402" t="s">
        <v>653</v>
      </c>
    </row>
    <row r="221" spans="2:9">
      <c r="B221" s="797" t="s">
        <v>654</v>
      </c>
      <c r="C221" s="798" t="s">
        <v>514</v>
      </c>
      <c r="D221" s="799">
        <v>5</v>
      </c>
      <c r="E221" s="799">
        <v>5</v>
      </c>
      <c r="F221" s="799">
        <v>5</v>
      </c>
      <c r="G221" s="799">
        <v>5</v>
      </c>
      <c r="H221" s="799">
        <v>5</v>
      </c>
      <c r="I221" s="800" t="s">
        <v>655</v>
      </c>
    </row>
    <row r="222" spans="2:9">
      <c r="B222" s="627"/>
      <c r="C222" s="399"/>
      <c r="D222" s="88"/>
      <c r="E222" s="88"/>
      <c r="F222" s="88"/>
      <c r="G222" s="88"/>
      <c r="H222" s="88"/>
      <c r="I222" s="400"/>
    </row>
    <row r="223" spans="2:9">
      <c r="B223" s="484" t="s">
        <v>656</v>
      </c>
      <c r="D223" s="408"/>
      <c r="E223" s="408"/>
      <c r="F223" s="408"/>
      <c r="G223" s="408"/>
      <c r="H223" s="408"/>
      <c r="I223" s="624"/>
    </row>
    <row r="224" spans="2:9">
      <c r="B224" s="212" t="s">
        <v>657</v>
      </c>
      <c r="C224" s="401" t="s">
        <v>514</v>
      </c>
      <c r="D224" s="107">
        <v>4</v>
      </c>
      <c r="E224" s="107">
        <v>4</v>
      </c>
      <c r="F224" s="107">
        <v>4</v>
      </c>
      <c r="G224" s="107">
        <v>4</v>
      </c>
      <c r="H224" s="107">
        <v>4</v>
      </c>
      <c r="I224" s="402" t="s">
        <v>658</v>
      </c>
    </row>
    <row r="225" spans="2:9">
      <c r="B225" s="797" t="s">
        <v>659</v>
      </c>
      <c r="C225" s="798" t="s">
        <v>514</v>
      </c>
      <c r="D225" s="799">
        <v>-4</v>
      </c>
      <c r="E225" s="799">
        <v>-5</v>
      </c>
      <c r="F225" s="799">
        <v>-5</v>
      </c>
      <c r="G225" s="799">
        <v>-5</v>
      </c>
      <c r="H225" s="799">
        <v>-5</v>
      </c>
      <c r="I225" s="800" t="s">
        <v>598</v>
      </c>
    </row>
    <row r="226" spans="2:9">
      <c r="B226" s="627"/>
      <c r="C226" s="399"/>
      <c r="D226" s="301"/>
      <c r="E226" s="301"/>
      <c r="F226" s="301"/>
      <c r="G226" s="301"/>
      <c r="H226" s="301"/>
      <c r="I226" s="400"/>
    </row>
    <row r="227" spans="2:9">
      <c r="B227" s="484" t="s">
        <v>660</v>
      </c>
      <c r="D227" s="71"/>
      <c r="E227" s="71"/>
      <c r="F227" s="71"/>
      <c r="G227" s="71"/>
      <c r="H227" s="71"/>
      <c r="I227" s="624"/>
    </row>
    <row r="228" spans="2:9">
      <c r="B228" s="627" t="s">
        <v>661</v>
      </c>
      <c r="C228" s="399" t="s">
        <v>514</v>
      </c>
      <c r="D228" s="71"/>
      <c r="E228" s="88">
        <v>-1200</v>
      </c>
      <c r="F228" s="88">
        <v>-1400</v>
      </c>
      <c r="G228" s="88">
        <v>-900</v>
      </c>
      <c r="H228" s="88">
        <v>-500</v>
      </c>
      <c r="I228" s="400" t="s">
        <v>662</v>
      </c>
    </row>
    <row r="229" spans="2:9">
      <c r="B229" s="53"/>
      <c r="D229" s="71"/>
      <c r="E229" s="71"/>
      <c r="F229" s="71"/>
      <c r="G229" s="71"/>
      <c r="H229" s="71"/>
      <c r="I229" s="71"/>
    </row>
  </sheetData>
  <mergeCells count="67">
    <mergeCell ref="B191:L191"/>
    <mergeCell ref="B149:D149"/>
    <mergeCell ref="B150:D150"/>
    <mergeCell ref="B151:D151"/>
    <mergeCell ref="B152:D152"/>
    <mergeCell ref="B153:D153"/>
    <mergeCell ref="G154:J154"/>
    <mergeCell ref="B154:D154"/>
    <mergeCell ref="I158:N158"/>
    <mergeCell ref="B174:D174"/>
    <mergeCell ref="I136:L136"/>
    <mergeCell ref="I137:L137"/>
    <mergeCell ref="I138:L138"/>
    <mergeCell ref="I139:L139"/>
    <mergeCell ref="I140:L140"/>
    <mergeCell ref="B143:L143"/>
    <mergeCell ref="B157:L157"/>
    <mergeCell ref="G146:J146"/>
    <mergeCell ref="G147:J147"/>
    <mergeCell ref="G148:J148"/>
    <mergeCell ref="G149:J149"/>
    <mergeCell ref="G150:J150"/>
    <mergeCell ref="G152:J152"/>
    <mergeCell ref="G151:J151"/>
    <mergeCell ref="G145:J145"/>
    <mergeCell ref="B145:D145"/>
    <mergeCell ref="B146:D146"/>
    <mergeCell ref="B147:D147"/>
    <mergeCell ref="B148:D148"/>
    <mergeCell ref="G153:J153"/>
    <mergeCell ref="I108:L108"/>
    <mergeCell ref="I113:L113"/>
    <mergeCell ref="I118:L118"/>
    <mergeCell ref="I123:L123"/>
    <mergeCell ref="B126:L126"/>
    <mergeCell ref="I127:L127"/>
    <mergeCell ref="I128:L128"/>
    <mergeCell ref="I129:L129"/>
    <mergeCell ref="I134:L134"/>
    <mergeCell ref="I135:L135"/>
    <mergeCell ref="B133:L133"/>
    <mergeCell ref="I48:L48"/>
    <mergeCell ref="B103:L103"/>
    <mergeCell ref="I92:L92"/>
    <mergeCell ref="I97:L97"/>
    <mergeCell ref="B83:L83"/>
    <mergeCell ref="I101:L101"/>
    <mergeCell ref="B100:L100"/>
    <mergeCell ref="I75:L75"/>
    <mergeCell ref="I80:L80"/>
    <mergeCell ref="I87:L87"/>
    <mergeCell ref="B2:L2"/>
    <mergeCell ref="B34:L34"/>
    <mergeCell ref="B71:L71"/>
    <mergeCell ref="I63:L63"/>
    <mergeCell ref="I68:L68"/>
    <mergeCell ref="I53:L53"/>
    <mergeCell ref="I58:L58"/>
    <mergeCell ref="I16:L16"/>
    <mergeCell ref="I21:L21"/>
    <mergeCell ref="I11:L11"/>
    <mergeCell ref="I26:L26"/>
    <mergeCell ref="I31:L31"/>
    <mergeCell ref="I5:L5"/>
    <mergeCell ref="B7:L7"/>
    <mergeCell ref="I38:L38"/>
    <mergeCell ref="I43:L43"/>
  </mergeCells>
  <dataValidations count="1">
    <dataValidation type="list" allowBlank="1" showInputMessage="1" showErrorMessage="1" sqref="C3:C4" xr:uid="{CCFDCCD5-30AA-434B-825A-A4BCBAC78171}">
      <formula1>"Bear Case ,Base Case ,Bull Case"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93647-BA7D-4753-AA4B-968B87C946B1}">
  <sheetPr>
    <tabColor rgb="FF375623"/>
  </sheetPr>
  <dimension ref="A2:N71"/>
  <sheetViews>
    <sheetView showGridLines="0" workbookViewId="0">
      <pane xSplit="1" ySplit="3" topLeftCell="B63" activePane="bottomRight" state="frozen"/>
      <selection pane="bottomRight" activeCell="B62" sqref="B62"/>
      <selection pane="bottomLeft"/>
      <selection pane="topRight"/>
    </sheetView>
  </sheetViews>
  <sheetFormatPr defaultRowHeight="15"/>
  <cols>
    <col min="1" max="1" width="1.85546875" customWidth="1"/>
    <col min="2" max="2" width="41.5703125" style="71" customWidth="1"/>
    <col min="3" max="10" width="13.7109375" style="71" customWidth="1"/>
  </cols>
  <sheetData>
    <row r="2" spans="1:10" ht="16.5">
      <c r="B2" s="733" t="s">
        <v>663</v>
      </c>
      <c r="C2" s="733"/>
      <c r="D2" s="733"/>
      <c r="E2" s="733"/>
      <c r="F2" s="733"/>
      <c r="G2" s="733"/>
      <c r="H2" s="733"/>
      <c r="I2" s="733"/>
      <c r="J2" s="733"/>
    </row>
    <row r="3" spans="1:10">
      <c r="B3" s="251" t="s">
        <v>127</v>
      </c>
      <c r="C3" s="252" t="s">
        <v>47</v>
      </c>
      <c r="D3" s="252" t="s">
        <v>48</v>
      </c>
      <c r="E3" s="253" t="s">
        <v>49</v>
      </c>
      <c r="F3" s="253" t="s">
        <v>50</v>
      </c>
      <c r="G3" s="253" t="s">
        <v>51</v>
      </c>
      <c r="H3" s="253" t="s">
        <v>52</v>
      </c>
      <c r="I3" s="253" t="s">
        <v>53</v>
      </c>
      <c r="J3" s="253" t="s">
        <v>54</v>
      </c>
    </row>
    <row r="4" spans="1:10" s="1" customFormat="1">
      <c r="B4" s="221"/>
      <c r="C4" s="254"/>
      <c r="D4" s="254"/>
      <c r="E4" s="255"/>
      <c r="F4" s="255"/>
      <c r="G4" s="255"/>
      <c r="H4" s="255"/>
      <c r="I4" s="255"/>
      <c r="J4" s="255"/>
    </row>
    <row r="5" spans="1:10">
      <c r="B5" s="727" t="s">
        <v>664</v>
      </c>
      <c r="C5" s="727"/>
      <c r="D5" s="727"/>
      <c r="E5" s="727"/>
      <c r="F5" s="727"/>
      <c r="G5" s="727"/>
      <c r="H5" s="727"/>
      <c r="I5" s="727"/>
      <c r="J5" s="727"/>
    </row>
    <row r="6" spans="1:10">
      <c r="B6" s="484" t="s">
        <v>665</v>
      </c>
      <c r="C6" s="53"/>
      <c r="D6" s="53"/>
    </row>
    <row r="7" spans="1:10" ht="14.25">
      <c r="A7" s="7"/>
      <c r="B7" s="627" t="s">
        <v>666</v>
      </c>
      <c r="C7" s="218">
        <f>KPIs!C89</f>
        <v>21300</v>
      </c>
      <c r="D7" s="218">
        <f>KPIs!D89</f>
        <v>26305</v>
      </c>
      <c r="E7" s="218">
        <f>KPIs!E89</f>
        <v>32224</v>
      </c>
      <c r="F7" s="218">
        <f>KPIs!F89</f>
        <v>38646</v>
      </c>
      <c r="G7" s="218">
        <f>F7*(1+Assumptions!E11)</f>
        <v>45602.28</v>
      </c>
      <c r="H7" s="218">
        <f>G7*(1+Assumptions!F11)</f>
        <v>54722.735999999997</v>
      </c>
      <c r="I7" s="218">
        <f>H7*(1+Assumptions!G11)</f>
        <v>65120.055839999994</v>
      </c>
      <c r="J7" s="218">
        <f>I7*(1+Assumptions!H11)</f>
        <v>76190.465332799984</v>
      </c>
    </row>
    <row r="8" spans="1:10">
      <c r="A8" s="7"/>
      <c r="B8" s="627" t="s">
        <v>667</v>
      </c>
      <c r="C8" s="256" t="s">
        <v>57</v>
      </c>
      <c r="D8" s="257">
        <v>0.85499999999999998</v>
      </c>
      <c r="E8" s="258">
        <v>0.85299999999999998</v>
      </c>
      <c r="F8" s="258">
        <v>0.85</v>
      </c>
      <c r="G8" s="258">
        <v>0.85</v>
      </c>
      <c r="H8" s="258">
        <v>0.84499999999999997</v>
      </c>
      <c r="I8" s="258">
        <v>0.84</v>
      </c>
      <c r="J8" s="258">
        <v>0.83499999999999996</v>
      </c>
    </row>
    <row r="9" spans="1:10" ht="14.25">
      <c r="A9" s="7"/>
      <c r="B9" s="627" t="s">
        <v>668</v>
      </c>
      <c r="C9" s="256" t="s">
        <v>57</v>
      </c>
      <c r="D9" s="218">
        <f>D7*D8</f>
        <v>22490.774999999998</v>
      </c>
      <c r="E9" s="218">
        <f>E7*E8</f>
        <v>27487.072</v>
      </c>
      <c r="F9" s="218">
        <f t="shared" ref="F9:J9" si="0">F7*F8</f>
        <v>32849.1</v>
      </c>
      <c r="G9" s="218">
        <f t="shared" si="0"/>
        <v>38761.937999999995</v>
      </c>
      <c r="H9" s="218">
        <f t="shared" si="0"/>
        <v>46240.711919999994</v>
      </c>
      <c r="I9" s="218">
        <f t="shared" si="0"/>
        <v>54700.846905599996</v>
      </c>
      <c r="J9" s="218">
        <f t="shared" si="0"/>
        <v>63619.038552887985</v>
      </c>
    </row>
    <row r="10" spans="1:10">
      <c r="A10" s="7"/>
      <c r="B10" s="627" t="s">
        <v>669</v>
      </c>
      <c r="C10" s="259">
        <f>KPIs!C100</f>
        <v>14.7</v>
      </c>
      <c r="D10" s="259">
        <f>KPIs!D100</f>
        <v>17</v>
      </c>
      <c r="E10" s="259">
        <f>KPIs!E100</f>
        <v>18.399999999999999</v>
      </c>
      <c r="F10" s="259">
        <f>KPIs!F100</f>
        <v>20.6</v>
      </c>
      <c r="G10" s="260">
        <f>Assumptions!E26</f>
        <v>22.5</v>
      </c>
      <c r="H10" s="260">
        <f>Assumptions!F26</f>
        <v>24.5</v>
      </c>
      <c r="I10" s="260">
        <f>Assumptions!G26</f>
        <v>26.5</v>
      </c>
      <c r="J10" s="260">
        <f>Assumptions!H26</f>
        <v>28.5</v>
      </c>
    </row>
    <row r="11" spans="1:10">
      <c r="A11" s="7"/>
      <c r="B11" s="627" t="s">
        <v>670</v>
      </c>
      <c r="C11" s="261">
        <f>KPIs!C98</f>
        <v>398</v>
      </c>
      <c r="D11" s="261">
        <f>KPIs!D98</f>
        <v>407</v>
      </c>
      <c r="E11" s="261">
        <f>KPIs!E98</f>
        <v>428</v>
      </c>
      <c r="F11" s="261">
        <f>KPIs!F98</f>
        <v>453</v>
      </c>
      <c r="G11" s="222">
        <f>Assumptions!E31</f>
        <v>473</v>
      </c>
      <c r="H11" s="222">
        <f>Assumptions!F31</f>
        <v>493</v>
      </c>
      <c r="I11" s="222">
        <f>Assumptions!G31</f>
        <v>514</v>
      </c>
      <c r="J11" s="222">
        <f>Assumptions!H31</f>
        <v>536</v>
      </c>
    </row>
    <row r="12" spans="1:10">
      <c r="A12" s="7"/>
      <c r="B12" s="627" t="s">
        <v>671</v>
      </c>
      <c r="C12" s="261">
        <f>KPIs!C97</f>
        <v>535</v>
      </c>
      <c r="D12" s="261">
        <f>KPIs!D97</f>
        <v>647</v>
      </c>
      <c r="E12" s="261">
        <f>KPIs!E97</f>
        <v>753</v>
      </c>
      <c r="F12" s="261">
        <f>KPIs!F97</f>
        <v>853</v>
      </c>
      <c r="G12" s="222">
        <f>G10*12*3.45</f>
        <v>931.5</v>
      </c>
      <c r="H12" s="222">
        <f t="shared" ref="H12:J12" si="1">H10*12*3.45</f>
        <v>1014.3000000000001</v>
      </c>
      <c r="I12" s="222">
        <f t="shared" si="1"/>
        <v>1097.1000000000001</v>
      </c>
      <c r="J12" s="222">
        <f t="shared" si="1"/>
        <v>1179.9000000000001</v>
      </c>
    </row>
    <row r="13" spans="1:10">
      <c r="A13" s="7"/>
      <c r="B13" s="212" t="s">
        <v>672</v>
      </c>
      <c r="C13" s="262">
        <f>KPIs!C108</f>
        <v>180</v>
      </c>
      <c r="D13" s="262">
        <f>KPIs!D108</f>
        <v>210</v>
      </c>
      <c r="E13" s="262">
        <f>KPIs!E108</f>
        <v>247</v>
      </c>
      <c r="F13" s="262">
        <f>KPIs!F108</f>
        <v>297</v>
      </c>
      <c r="G13" s="223">
        <f>F13*1.11</f>
        <v>329.67</v>
      </c>
      <c r="H13" s="223">
        <f>G13*1.1</f>
        <v>362.63700000000006</v>
      </c>
      <c r="I13" s="223">
        <f>H13*1.1</f>
        <v>398.90070000000009</v>
      </c>
      <c r="J13" s="223">
        <f>I13*1.09</f>
        <v>434.80176300000011</v>
      </c>
    </row>
    <row r="14" spans="1:10">
      <c r="A14" s="7"/>
      <c r="B14" s="219" t="s">
        <v>673</v>
      </c>
      <c r="C14" s="263">
        <f>KPIs!C103</f>
        <v>285</v>
      </c>
      <c r="D14" s="263">
        <f>KPIs!D103</f>
        <v>326</v>
      </c>
      <c r="E14" s="263">
        <f>KPIs!E103</f>
        <v>400</v>
      </c>
      <c r="F14" s="263">
        <f>KPIs!F103</f>
        <v>473</v>
      </c>
      <c r="G14" s="264">
        <f>F14*1.11</f>
        <v>525.03000000000009</v>
      </c>
      <c r="H14" s="264">
        <f>G14*1.1</f>
        <v>577.53300000000013</v>
      </c>
      <c r="I14" s="264">
        <f t="shared" ref="I14" si="2">H14*1.1</f>
        <v>635.28630000000021</v>
      </c>
      <c r="J14" s="264">
        <f>I14*1.09</f>
        <v>692.46206700000027</v>
      </c>
    </row>
    <row r="15" spans="1:10">
      <c r="A15" s="7"/>
      <c r="B15" s="627"/>
      <c r="C15" s="261"/>
      <c r="D15" s="261"/>
      <c r="E15" s="261"/>
      <c r="F15" s="261"/>
      <c r="G15" s="222"/>
      <c r="H15" s="222"/>
      <c r="I15" s="222"/>
      <c r="J15" s="222"/>
    </row>
    <row r="16" spans="1:10">
      <c r="A16" s="7"/>
      <c r="B16" s="484" t="s">
        <v>674</v>
      </c>
      <c r="C16" s="230"/>
      <c r="D16" s="230"/>
      <c r="E16" s="65"/>
      <c r="F16" s="65"/>
      <c r="G16" s="65"/>
      <c r="H16" s="65"/>
      <c r="I16" s="65"/>
      <c r="J16" s="65"/>
    </row>
    <row r="17" spans="1:14">
      <c r="A17" s="7"/>
      <c r="B17" s="627" t="s">
        <v>675</v>
      </c>
      <c r="C17" s="265" t="s">
        <v>57</v>
      </c>
      <c r="D17" s="266">
        <f>KPIs!D105</f>
        <v>0.17199999999999999</v>
      </c>
      <c r="E17" s="266">
        <f>KPIs!E105</f>
        <v>0.19700000000000001</v>
      </c>
      <c r="F17" s="266">
        <f>KPIs!F105</f>
        <v>0.20899999999999999</v>
      </c>
      <c r="G17" s="55">
        <f>Assumptions!E16</f>
        <v>0.215</v>
      </c>
      <c r="H17" s="55">
        <f>Assumptions!F16</f>
        <v>0.22</v>
      </c>
      <c r="I17" s="55">
        <f>Assumptions!G16</f>
        <v>0.22500000000000001</v>
      </c>
      <c r="J17" s="55">
        <f>Assumptions!H16</f>
        <v>0.22500000000000001</v>
      </c>
      <c r="N17" s="17"/>
    </row>
    <row r="18" spans="1:14">
      <c r="A18" s="7"/>
      <c r="B18" s="215" t="s">
        <v>676</v>
      </c>
      <c r="C18" s="267">
        <f>KPIs!C91</f>
        <v>3415</v>
      </c>
      <c r="D18" s="267">
        <f>KPIs!D91</f>
        <v>4533</v>
      </c>
      <c r="E18" s="267">
        <f>KPIs!E91</f>
        <v>6361</v>
      </c>
      <c r="F18" s="267">
        <f>KPIs!F91</f>
        <v>8080</v>
      </c>
      <c r="G18" s="268">
        <f>G7*G17</f>
        <v>9804.4902000000002</v>
      </c>
      <c r="H18" s="268">
        <f t="shared" ref="H18:J18" si="3">H7*H17</f>
        <v>12039.001919999999</v>
      </c>
      <c r="I18" s="268">
        <f t="shared" si="3"/>
        <v>14652.012563999999</v>
      </c>
      <c r="J18" s="268">
        <f t="shared" si="3"/>
        <v>17142.854699879997</v>
      </c>
    </row>
    <row r="19" spans="1:14">
      <c r="A19" s="7"/>
      <c r="B19" s="210"/>
      <c r="C19" s="218"/>
      <c r="D19" s="218"/>
      <c r="E19" s="218"/>
      <c r="F19" s="218"/>
      <c r="G19" s="72"/>
      <c r="H19" s="72"/>
      <c r="I19" s="72"/>
      <c r="J19" s="72"/>
    </row>
    <row r="20" spans="1:14">
      <c r="A20" s="7"/>
      <c r="B20" s="484" t="s">
        <v>677</v>
      </c>
      <c r="C20" s="230"/>
      <c r="D20" s="230"/>
      <c r="E20" s="65"/>
      <c r="F20" s="65"/>
      <c r="G20" s="65"/>
      <c r="H20" s="65"/>
      <c r="I20" s="65"/>
      <c r="J20" s="65"/>
    </row>
    <row r="21" spans="1:14">
      <c r="A21" s="7"/>
      <c r="B21" s="212" t="s">
        <v>678</v>
      </c>
      <c r="C21" s="269">
        <f>KPIs!C116</f>
        <v>-3.5999999999999997E-2</v>
      </c>
      <c r="D21" s="269">
        <f>KPIs!D116</f>
        <v>0</v>
      </c>
      <c r="E21" s="269">
        <f>KPIs!E116</f>
        <v>3.3000000000000002E-2</v>
      </c>
      <c r="F21" s="269">
        <f>KPIs!F116</f>
        <v>4.5999999999999999E-2</v>
      </c>
      <c r="G21" s="270">
        <f>Assumptions!E21</f>
        <v>5.1999999999999998E-2</v>
      </c>
      <c r="H21" s="271">
        <f>Assumptions!F21</f>
        <v>5.5E-2</v>
      </c>
      <c r="I21" s="271">
        <f>Assumptions!G21</f>
        <v>5.7000000000000002E-2</v>
      </c>
      <c r="J21" s="271">
        <f>Assumptions!H21</f>
        <v>5.8000000000000003E-2</v>
      </c>
    </row>
    <row r="22" spans="1:14">
      <c r="A22" s="7"/>
      <c r="B22" s="272" t="s">
        <v>679</v>
      </c>
      <c r="C22" s="273">
        <f>KPIs!C115</f>
        <v>-766</v>
      </c>
      <c r="D22" s="273">
        <f>KPIs!D115</f>
        <v>-10</v>
      </c>
      <c r="E22" s="273">
        <f>KPIs!E115</f>
        <v>912</v>
      </c>
      <c r="F22" s="273">
        <f>KPIs!F115</f>
        <v>1505</v>
      </c>
      <c r="G22" s="274">
        <f>G9*G21</f>
        <v>2015.6207759999995</v>
      </c>
      <c r="H22" s="274">
        <f>H9*H21</f>
        <v>2543.2391555999998</v>
      </c>
      <c r="I22" s="274">
        <f>I9*I21</f>
        <v>3117.9482736191999</v>
      </c>
      <c r="J22" s="274">
        <f>J9*J21</f>
        <v>3689.9042360675035</v>
      </c>
    </row>
    <row r="23" spans="1:14">
      <c r="A23" s="7"/>
      <c r="B23" s="275"/>
      <c r="C23" s="276"/>
      <c r="D23" s="276"/>
      <c r="E23" s="276"/>
      <c r="F23" s="276"/>
      <c r="G23" s="214"/>
      <c r="H23" s="214"/>
      <c r="I23" s="214"/>
      <c r="J23" s="214"/>
    </row>
    <row r="24" spans="1:14">
      <c r="A24" s="7"/>
      <c r="B24" s="53"/>
      <c r="C24" s="53"/>
      <c r="D24" s="53"/>
    </row>
    <row r="25" spans="1:14">
      <c r="A25" s="7"/>
      <c r="B25" s="747" t="s">
        <v>680</v>
      </c>
      <c r="C25" s="747"/>
      <c r="D25" s="747"/>
      <c r="E25" s="747"/>
      <c r="F25" s="747"/>
      <c r="G25" s="747"/>
      <c r="H25" s="747"/>
      <c r="I25" s="747"/>
      <c r="J25" s="747"/>
    </row>
    <row r="26" spans="1:14">
      <c r="A26" s="7"/>
      <c r="B26" s="484" t="s">
        <v>681</v>
      </c>
      <c r="C26" s="53"/>
      <c r="D26" s="53"/>
    </row>
    <row r="27" spans="1:14">
      <c r="A27" s="7"/>
      <c r="B27" s="627" t="s">
        <v>479</v>
      </c>
      <c r="C27" s="277" t="s">
        <v>57</v>
      </c>
      <c r="D27" s="278">
        <f>KPIs!D133</f>
        <v>377</v>
      </c>
      <c r="E27" s="278">
        <f>KPIs!E133</f>
        <v>526</v>
      </c>
      <c r="F27" s="278">
        <f>KPIs!F133</f>
        <v>1301</v>
      </c>
      <c r="G27" s="92">
        <f>Assumptions!E53</f>
        <v>1950</v>
      </c>
      <c r="H27" s="92">
        <f>Assumptions!F53</f>
        <v>2600</v>
      </c>
      <c r="I27" s="92">
        <f>Assumptions!G53</f>
        <v>3300</v>
      </c>
      <c r="J27" s="92">
        <f>Assumptions!H53</f>
        <v>3700</v>
      </c>
    </row>
    <row r="28" spans="1:14">
      <c r="A28" s="7"/>
      <c r="B28" s="627" t="s">
        <v>682</v>
      </c>
      <c r="C28" s="277" t="s">
        <v>57</v>
      </c>
      <c r="D28" s="279">
        <v>0</v>
      </c>
      <c r="E28" s="278">
        <f>KPIs!E134</f>
        <v>149</v>
      </c>
      <c r="F28" s="278">
        <f>KPIs!F134</f>
        <v>775</v>
      </c>
      <c r="G28" s="280">
        <f>G27-F27</f>
        <v>649</v>
      </c>
      <c r="H28" s="280">
        <f t="shared" ref="H28:J28" si="4">H27-G27</f>
        <v>650</v>
      </c>
      <c r="I28" s="280">
        <f t="shared" si="4"/>
        <v>700</v>
      </c>
      <c r="J28" s="280">
        <f t="shared" si="4"/>
        <v>400</v>
      </c>
    </row>
    <row r="29" spans="1:14">
      <c r="A29" s="5"/>
      <c r="B29" s="212" t="s">
        <v>683</v>
      </c>
      <c r="C29" s="281" t="s">
        <v>57</v>
      </c>
      <c r="D29" s="281" t="s">
        <v>57</v>
      </c>
      <c r="E29" s="281" t="s">
        <v>57</v>
      </c>
      <c r="F29" s="282">
        <f>Assumptions!D68</f>
        <v>1.21</v>
      </c>
      <c r="G29" s="283">
        <f>Assumptions!E68</f>
        <v>1.4</v>
      </c>
      <c r="H29" s="283">
        <f>Assumptions!F68</f>
        <v>1.6</v>
      </c>
      <c r="I29" s="283">
        <f>Assumptions!G68</f>
        <v>1.7</v>
      </c>
      <c r="J29" s="283">
        <f>Assumptions!H68</f>
        <v>1.8</v>
      </c>
    </row>
    <row r="30" spans="1:14">
      <c r="A30" s="5"/>
      <c r="B30" s="219" t="s">
        <v>684</v>
      </c>
      <c r="C30" s="284" t="s">
        <v>57</v>
      </c>
      <c r="D30" s="284" t="s">
        <v>57</v>
      </c>
      <c r="E30" s="284" t="s">
        <v>57</v>
      </c>
      <c r="F30" s="285">
        <f>F29*F28</f>
        <v>937.75</v>
      </c>
      <c r="G30" s="285">
        <f t="shared" ref="G30:J30" si="5">G29*G28</f>
        <v>908.59999999999991</v>
      </c>
      <c r="H30" s="285">
        <f t="shared" si="5"/>
        <v>1040</v>
      </c>
      <c r="I30" s="285">
        <f t="shared" si="5"/>
        <v>1190</v>
      </c>
      <c r="J30" s="285">
        <f t="shared" si="5"/>
        <v>720</v>
      </c>
    </row>
    <row r="31" spans="1:14">
      <c r="A31" s="5"/>
      <c r="B31" s="627"/>
      <c r="C31" s="59"/>
      <c r="D31" s="59"/>
      <c r="E31" s="59"/>
      <c r="F31" s="286"/>
      <c r="G31" s="286"/>
      <c r="H31" s="286"/>
      <c r="I31" s="286"/>
      <c r="J31" s="286"/>
    </row>
    <row r="32" spans="1:14">
      <c r="A32" s="5"/>
      <c r="B32" s="484" t="s">
        <v>674</v>
      </c>
      <c r="D32" s="287"/>
      <c r="E32" s="287"/>
      <c r="F32" s="287"/>
      <c r="G32" s="287"/>
      <c r="H32" s="287"/>
    </row>
    <row r="33" spans="1:10">
      <c r="A33" s="5"/>
      <c r="B33" s="627" t="s">
        <v>685</v>
      </c>
      <c r="C33" s="59" t="s">
        <v>57</v>
      </c>
      <c r="D33" s="81" t="s">
        <v>57</v>
      </c>
      <c r="E33" s="288">
        <v>0.85</v>
      </c>
      <c r="F33" s="288">
        <v>1.1299999999999999</v>
      </c>
      <c r="G33" s="289">
        <f>Assumptions!E38</f>
        <v>0.5</v>
      </c>
      <c r="H33" s="289">
        <f>Assumptions!F38</f>
        <v>0.5</v>
      </c>
      <c r="I33" s="289">
        <f>Assumptions!G38</f>
        <v>0.35</v>
      </c>
      <c r="J33" s="289">
        <f>Assumptions!H38</f>
        <v>0.2</v>
      </c>
    </row>
    <row r="34" spans="1:10">
      <c r="A34" s="5"/>
      <c r="B34" s="212" t="s">
        <v>686</v>
      </c>
      <c r="C34" s="281" t="s">
        <v>57</v>
      </c>
      <c r="D34" s="290">
        <f>KPIs!D122</f>
        <v>5690</v>
      </c>
      <c r="E34" s="290">
        <f>KPIs!E122</f>
        <v>10503</v>
      </c>
      <c r="F34" s="290">
        <f>KPIs!F122</f>
        <v>22371</v>
      </c>
      <c r="G34" s="290">
        <f>F34*(1+G33)</f>
        <v>33556.5</v>
      </c>
      <c r="H34" s="290">
        <f t="shared" ref="H34:J34" si="6">G34*(1+H33)</f>
        <v>50334.75</v>
      </c>
      <c r="I34" s="290">
        <f t="shared" si="6"/>
        <v>67951.912500000006</v>
      </c>
      <c r="J34" s="290">
        <f t="shared" si="6"/>
        <v>81542.294999999998</v>
      </c>
    </row>
    <row r="35" spans="1:10">
      <c r="A35" s="5"/>
      <c r="B35" s="212" t="s">
        <v>687</v>
      </c>
      <c r="C35" s="281" t="s">
        <v>57</v>
      </c>
      <c r="D35" s="291">
        <v>0.14199999999999999</v>
      </c>
      <c r="E35" s="291">
        <v>0.219</v>
      </c>
      <c r="F35" s="291">
        <v>0.23300000000000001</v>
      </c>
      <c r="G35" s="292">
        <f>Assumptions!E43</f>
        <v>0.23499999999999999</v>
      </c>
      <c r="H35" s="292">
        <f>Assumptions!F43</f>
        <v>0.24</v>
      </c>
      <c r="I35" s="292">
        <f>Assumptions!G43</f>
        <v>0.245</v>
      </c>
      <c r="J35" s="292">
        <f>Assumptions!H43</f>
        <v>0.25</v>
      </c>
    </row>
    <row r="36" spans="1:10">
      <c r="A36" s="5"/>
      <c r="B36" s="219" t="s">
        <v>688</v>
      </c>
      <c r="C36" s="284" t="s">
        <v>57</v>
      </c>
      <c r="D36" s="293">
        <f>KPIs!D123</f>
        <v>806</v>
      </c>
      <c r="E36" s="293">
        <f>KPIs!E123</f>
        <v>2301</v>
      </c>
      <c r="F36" s="293">
        <f>KPIs!F123</f>
        <v>5206</v>
      </c>
      <c r="G36" s="294">
        <f>G34*G35</f>
        <v>7885.7774999999992</v>
      </c>
      <c r="H36" s="294">
        <f t="shared" ref="H36:J36" si="7">H34*H35</f>
        <v>12080.34</v>
      </c>
      <c r="I36" s="294">
        <f t="shared" si="7"/>
        <v>16648.218562500002</v>
      </c>
      <c r="J36" s="294">
        <f t="shared" si="7"/>
        <v>20385.57375</v>
      </c>
    </row>
    <row r="37" spans="1:10">
      <c r="A37" s="5"/>
      <c r="B37" s="627"/>
      <c r="C37" s="59"/>
      <c r="D37" s="280"/>
      <c r="E37" s="280"/>
      <c r="F37" s="280"/>
      <c r="G37" s="92"/>
      <c r="H37" s="92"/>
      <c r="I37" s="92"/>
      <c r="J37" s="92"/>
    </row>
    <row r="38" spans="1:10" ht="25.5">
      <c r="A38" s="5"/>
      <c r="B38" s="149" t="s">
        <v>689</v>
      </c>
    </row>
    <row r="39" spans="1:10">
      <c r="A39" s="5"/>
      <c r="B39" s="627" t="s">
        <v>690</v>
      </c>
      <c r="C39" s="59" t="s">
        <v>57</v>
      </c>
      <c r="D39" s="59" t="s">
        <v>57</v>
      </c>
      <c r="E39" s="59" t="s">
        <v>57</v>
      </c>
      <c r="F39" s="59" t="s">
        <v>57</v>
      </c>
      <c r="G39" s="295">
        <v>0.02</v>
      </c>
      <c r="H39" s="295">
        <v>3.5000000000000003E-2</v>
      </c>
      <c r="I39" s="295">
        <v>0.05</v>
      </c>
      <c r="J39" s="295">
        <v>0.06</v>
      </c>
    </row>
    <row r="40" spans="1:10">
      <c r="A40" s="5"/>
      <c r="B40" s="627" t="s">
        <v>691</v>
      </c>
      <c r="C40" s="59" t="s">
        <v>57</v>
      </c>
      <c r="D40" s="59" t="s">
        <v>57</v>
      </c>
      <c r="E40" s="59" t="s">
        <v>57</v>
      </c>
      <c r="F40" s="59" t="s">
        <v>57</v>
      </c>
      <c r="G40" s="295">
        <v>3.0000000000000001E-3</v>
      </c>
      <c r="H40" s="295">
        <v>0.01</v>
      </c>
      <c r="I40" s="295">
        <v>2.5000000000000001E-2</v>
      </c>
      <c r="J40" s="295">
        <v>3.5000000000000003E-2</v>
      </c>
    </row>
    <row r="41" spans="1:10">
      <c r="A41" s="5"/>
      <c r="B41" s="212" t="s">
        <v>692</v>
      </c>
      <c r="C41" s="281" t="s">
        <v>57</v>
      </c>
      <c r="D41" s="281" t="s">
        <v>57</v>
      </c>
      <c r="E41" s="281" t="s">
        <v>57</v>
      </c>
      <c r="F41" s="281" t="s">
        <v>57</v>
      </c>
      <c r="G41" s="296">
        <f>0.4*G39+0.6*G40</f>
        <v>9.7999999999999997E-3</v>
      </c>
      <c r="H41" s="94">
        <f t="shared" ref="H41:J41" si="8">0.4*H39+0.6*H40</f>
        <v>2.0000000000000004E-2</v>
      </c>
      <c r="I41" s="94">
        <f t="shared" si="8"/>
        <v>3.5000000000000003E-2</v>
      </c>
      <c r="J41" s="94">
        <f t="shared" si="8"/>
        <v>4.4999999999999998E-2</v>
      </c>
    </row>
    <row r="42" spans="1:10">
      <c r="A42" s="7"/>
      <c r="B42" s="297" t="s">
        <v>693</v>
      </c>
      <c r="C42" s="298" t="s">
        <v>57</v>
      </c>
      <c r="D42" s="299">
        <f>KPIs!D145</f>
        <v>-1016</v>
      </c>
      <c r="E42" s="299">
        <f>KPIs!E145</f>
        <v>-384</v>
      </c>
      <c r="F42" s="299">
        <f>KPIs!F145</f>
        <v>-292</v>
      </c>
      <c r="G42" s="300">
        <f>G34*G41</f>
        <v>328.8537</v>
      </c>
      <c r="H42" s="300">
        <f t="shared" ref="H42:J42" si="9">H34*H41</f>
        <v>1006.6950000000002</v>
      </c>
      <c r="I42" s="300">
        <f t="shared" si="9"/>
        <v>2378.3169375000002</v>
      </c>
      <c r="J42" s="300">
        <f t="shared" si="9"/>
        <v>3669.4032749999997</v>
      </c>
    </row>
    <row r="43" spans="1:10">
      <c r="A43" s="7"/>
      <c r="B43" s="301"/>
      <c r="C43" s="302"/>
      <c r="D43" s="303"/>
      <c r="E43" s="304"/>
      <c r="F43" s="304"/>
      <c r="G43" s="302"/>
      <c r="H43" s="92"/>
      <c r="I43" s="92"/>
      <c r="J43" s="92"/>
    </row>
    <row r="44" spans="1:10">
      <c r="A44" s="7"/>
      <c r="B44" s="301"/>
      <c r="C44" s="302"/>
      <c r="D44" s="303"/>
      <c r="E44" s="304"/>
      <c r="F44" s="304"/>
      <c r="G44" s="302"/>
      <c r="H44" s="92"/>
      <c r="I44" s="92"/>
      <c r="J44" s="92"/>
    </row>
    <row r="45" spans="1:10">
      <c r="A45" s="7"/>
      <c r="B45" s="748" t="s">
        <v>694</v>
      </c>
      <c r="C45" s="748"/>
      <c r="D45" s="748"/>
      <c r="E45" s="748"/>
      <c r="F45" s="748"/>
      <c r="G45" s="748"/>
      <c r="H45" s="748"/>
      <c r="I45" s="748"/>
      <c r="J45" s="748"/>
    </row>
    <row r="46" spans="1:10" ht="14.25">
      <c r="A46" s="7"/>
      <c r="B46" s="627" t="s">
        <v>386</v>
      </c>
      <c r="C46" s="305">
        <f>KPIs!C151</f>
        <v>538</v>
      </c>
      <c r="D46" s="305">
        <f>KPIs!D151</f>
        <v>1506</v>
      </c>
      <c r="E46" s="305">
        <f>KPIs!E151</f>
        <v>3172</v>
      </c>
      <c r="F46" s="305">
        <f>KPIs!F151</f>
        <v>6196</v>
      </c>
      <c r="G46" s="150">
        <f>F46*(1+Assumptions!E75)</f>
        <v>9913.6</v>
      </c>
      <c r="H46" s="150">
        <f>G46*(1+Assumptions!F75)</f>
        <v>14374.72</v>
      </c>
      <c r="I46" s="150">
        <f>H46*(1+Assumptions!G75)</f>
        <v>19405.871999999999</v>
      </c>
      <c r="J46" s="150">
        <f>I46*(1+Assumptions!H75)</f>
        <v>24257.34</v>
      </c>
    </row>
    <row r="47" spans="1:10">
      <c r="A47" s="7"/>
      <c r="B47" s="627" t="s">
        <v>140</v>
      </c>
      <c r="C47" s="151">
        <f>KPIs!C152</f>
        <v>1.7</v>
      </c>
      <c r="D47" s="151">
        <f>KPIs!D152</f>
        <v>1.8</v>
      </c>
      <c r="E47" s="151">
        <f>KPIs!E152</f>
        <v>1.1100000000000001</v>
      </c>
      <c r="F47" s="151">
        <f>KPIs!F152</f>
        <v>0.95</v>
      </c>
      <c r="G47" s="103">
        <f>Assumptions!E75</f>
        <v>0.6</v>
      </c>
      <c r="H47" s="103">
        <f>Assumptions!F75</f>
        <v>0.45</v>
      </c>
      <c r="I47" s="103">
        <f>Assumptions!G75</f>
        <v>0.35</v>
      </c>
      <c r="J47" s="103">
        <f>Assumptions!H75</f>
        <v>0.25</v>
      </c>
    </row>
    <row r="48" spans="1:10">
      <c r="A48" s="7"/>
      <c r="B48" s="627" t="s">
        <v>695</v>
      </c>
      <c r="C48" s="305">
        <f>KPIs!C159</f>
        <v>-139</v>
      </c>
      <c r="D48" s="305">
        <f>KPIs!D159</f>
        <v>-194</v>
      </c>
      <c r="E48" s="305">
        <f>KPIs!E159</f>
        <v>-126</v>
      </c>
      <c r="F48" s="305">
        <f>KPIs!F159</f>
        <v>-84</v>
      </c>
      <c r="G48" s="306">
        <f>G46*G49</f>
        <v>99.13600000000001</v>
      </c>
      <c r="H48" s="306">
        <f t="shared" ref="H48:J48" si="10">H46*H49</f>
        <v>287.49439999999998</v>
      </c>
      <c r="I48" s="306">
        <f t="shared" si="10"/>
        <v>679.20552000000009</v>
      </c>
      <c r="J48" s="306">
        <f t="shared" si="10"/>
        <v>1091.5803000000001</v>
      </c>
    </row>
    <row r="49" spans="1:10">
      <c r="A49" s="7"/>
      <c r="B49" s="307" t="s">
        <v>696</v>
      </c>
      <c r="C49" s="308">
        <f>KPIs!C160</f>
        <v>-0.25800000000000001</v>
      </c>
      <c r="D49" s="308">
        <f>KPIs!D160</f>
        <v>-0.129</v>
      </c>
      <c r="E49" s="308">
        <f>KPIs!E160</f>
        <v>-3.9E-2</v>
      </c>
      <c r="F49" s="308">
        <f>KPIs!F160</f>
        <v>-1.4E-2</v>
      </c>
      <c r="G49" s="309">
        <f>Assumptions!E80</f>
        <v>0.01</v>
      </c>
      <c r="H49" s="309">
        <f>Assumptions!F80</f>
        <v>0.02</v>
      </c>
      <c r="I49" s="309">
        <f>Assumptions!G80</f>
        <v>3.5000000000000003E-2</v>
      </c>
      <c r="J49" s="309">
        <f>Assumptions!H80</f>
        <v>4.4999999999999998E-2</v>
      </c>
    </row>
    <row r="50" spans="1:10">
      <c r="A50" s="7"/>
      <c r="B50" s="53"/>
      <c r="C50" s="53"/>
      <c r="D50" s="53"/>
    </row>
    <row r="51" spans="1:10">
      <c r="A51" s="7"/>
      <c r="B51" s="747" t="s">
        <v>697</v>
      </c>
      <c r="C51" s="747"/>
      <c r="D51" s="747"/>
      <c r="E51" s="747"/>
      <c r="F51" s="747"/>
      <c r="G51" s="747"/>
      <c r="H51" s="747"/>
      <c r="I51" s="747"/>
      <c r="J51" s="747"/>
    </row>
    <row r="52" spans="1:10">
      <c r="A52" s="7"/>
      <c r="B52" s="301" t="s">
        <v>698</v>
      </c>
      <c r="C52" s="222" t="str">
        <f>KPIs!C166</f>
        <v>-</v>
      </c>
      <c r="D52" s="222">
        <f>KPIs!D166</f>
        <v>1132</v>
      </c>
      <c r="E52" s="222">
        <f>KPIs!E166</f>
        <v>2581</v>
      </c>
      <c r="F52" s="222">
        <f>KPIs!F166</f>
        <v>6618</v>
      </c>
      <c r="G52" s="218">
        <f>F52*(1+Assumptions!E87)</f>
        <v>11250.6</v>
      </c>
      <c r="H52" s="218">
        <f>G52*(1+Assumptions!F87)</f>
        <v>16875.900000000001</v>
      </c>
      <c r="I52" s="218">
        <f>H52*(1+Assumptions!G87)</f>
        <v>23626.260000000002</v>
      </c>
      <c r="J52" s="218">
        <f>I52*(1+Assumptions!H87)</f>
        <v>31895.451000000005</v>
      </c>
    </row>
    <row r="53" spans="1:10">
      <c r="A53" s="7"/>
      <c r="B53" s="301" t="s">
        <v>699</v>
      </c>
      <c r="C53" s="59" t="s">
        <v>57</v>
      </c>
      <c r="D53" s="59" t="s">
        <v>57</v>
      </c>
      <c r="E53" s="59" t="s">
        <v>57</v>
      </c>
      <c r="F53" s="55">
        <f>Assumptions!D92</f>
        <v>0.111</v>
      </c>
      <c r="G53" s="55">
        <f>Assumptions!E92</f>
        <v>0.09</v>
      </c>
      <c r="H53" s="55">
        <f>Assumptions!F92</f>
        <v>9.5000000000000001E-2</v>
      </c>
      <c r="I53" s="55">
        <f>Assumptions!G92</f>
        <v>0.1</v>
      </c>
      <c r="J53" s="55">
        <f>Assumptions!H92</f>
        <v>0.105</v>
      </c>
    </row>
    <row r="54" spans="1:10">
      <c r="A54" s="7"/>
      <c r="B54" s="301" t="s">
        <v>700</v>
      </c>
      <c r="C54" s="222" t="str">
        <f>KPIs!C169</f>
        <v>-</v>
      </c>
      <c r="D54" s="222">
        <f>KPIs!D169</f>
        <v>171</v>
      </c>
      <c r="E54" s="222">
        <f>KPIs!E169</f>
        <v>258</v>
      </c>
      <c r="F54" s="222">
        <f>KPIs!F169</f>
        <v>737</v>
      </c>
      <c r="G54" s="72">
        <f>G52*G53</f>
        <v>1012.554</v>
      </c>
      <c r="H54" s="72">
        <f t="shared" ref="H54:J54" si="11">H52*H53</f>
        <v>1603.2105000000001</v>
      </c>
      <c r="I54" s="72">
        <f t="shared" si="11"/>
        <v>2362.6260000000002</v>
      </c>
      <c r="J54" s="72">
        <f t="shared" si="11"/>
        <v>3349.0223550000005</v>
      </c>
    </row>
    <row r="55" spans="1:10">
      <c r="A55" s="7"/>
      <c r="B55" s="310" t="s">
        <v>701</v>
      </c>
      <c r="C55" s="311" t="str">
        <f>KPIs!C171</f>
        <v>-</v>
      </c>
      <c r="D55" s="311">
        <f>KPIs!D171</f>
        <v>-1.0999999999999999E-2</v>
      </c>
      <c r="E55" s="311">
        <f>KPIs!E171</f>
        <v>-2E-3</v>
      </c>
      <c r="F55" s="311">
        <f>KPIs!F171</f>
        <v>-6.0000000000000001E-3</v>
      </c>
      <c r="G55" s="271">
        <f>Assumptions!E97</f>
        <v>-1.4999999999999999E-2</v>
      </c>
      <c r="H55" s="271">
        <f>Assumptions!F97</f>
        <v>-5.0000000000000001E-3</v>
      </c>
      <c r="I55" s="271">
        <f>Assumptions!G97</f>
        <v>1.4999999999999999E-2</v>
      </c>
      <c r="J55" s="271">
        <f>Assumptions!H97</f>
        <v>0.03</v>
      </c>
    </row>
    <row r="56" spans="1:10">
      <c r="A56" s="7"/>
      <c r="B56" s="297" t="s">
        <v>702</v>
      </c>
      <c r="C56" s="312" t="str">
        <f>KPIs!C170</f>
        <v>-</v>
      </c>
      <c r="D56" s="312">
        <f>KPIs!D170</f>
        <v>-13</v>
      </c>
      <c r="E56" s="312">
        <f>KPIs!E170</f>
        <v>-6</v>
      </c>
      <c r="F56" s="312">
        <f>KPIs!F170</f>
        <v>-38</v>
      </c>
      <c r="G56" s="313">
        <f>G52*G55</f>
        <v>-168.75899999999999</v>
      </c>
      <c r="H56" s="313">
        <f t="shared" ref="H56:J56" si="12">H52*H55</f>
        <v>-84.379500000000007</v>
      </c>
      <c r="I56" s="313">
        <f t="shared" si="12"/>
        <v>354.39390000000003</v>
      </c>
      <c r="J56" s="313">
        <f t="shared" si="12"/>
        <v>956.86353000000008</v>
      </c>
    </row>
    <row r="57" spans="1:10">
      <c r="A57" s="7"/>
      <c r="B57" s="301"/>
      <c r="C57" s="301"/>
      <c r="D57" s="314"/>
      <c r="E57" s="314"/>
      <c r="F57" s="314"/>
      <c r="G57" s="301"/>
      <c r="H57" s="301"/>
      <c r="I57" s="301"/>
      <c r="J57" s="301"/>
    </row>
    <row r="58" spans="1:10">
      <c r="A58" s="7"/>
      <c r="B58" s="727" t="s">
        <v>703</v>
      </c>
      <c r="C58" s="727"/>
      <c r="D58" s="727"/>
      <c r="E58" s="727"/>
      <c r="F58" s="727"/>
      <c r="G58" s="727"/>
      <c r="H58" s="727"/>
      <c r="I58" s="727"/>
      <c r="J58" s="727"/>
    </row>
    <row r="59" spans="1:10">
      <c r="A59" s="7"/>
      <c r="B59" s="627" t="s">
        <v>704</v>
      </c>
      <c r="C59" s="627">
        <f>'Historical Financials'!C11</f>
        <v>240</v>
      </c>
      <c r="D59" s="627">
        <f>'Historical Financials'!D11</f>
        <v>234</v>
      </c>
      <c r="E59" s="627">
        <f>'Historical Financials'!E11</f>
        <v>22</v>
      </c>
      <c r="F59" s="627">
        <f>'Historical Financials'!F11</f>
        <v>24</v>
      </c>
      <c r="G59" s="315">
        <f>Assumptions!E101</f>
        <v>25</v>
      </c>
      <c r="H59" s="315">
        <f>Assumptions!F101</f>
        <v>25</v>
      </c>
      <c r="I59" s="315">
        <f>Assumptions!G101</f>
        <v>25</v>
      </c>
      <c r="J59" s="315">
        <f>Assumptions!H101</f>
        <v>25</v>
      </c>
    </row>
    <row r="60" spans="1:10">
      <c r="A60" s="7"/>
      <c r="B60" s="307" t="s">
        <v>705</v>
      </c>
      <c r="C60" s="316" t="s">
        <v>57</v>
      </c>
      <c r="D60" s="316" t="s">
        <v>57</v>
      </c>
      <c r="E60" s="316" t="s">
        <v>57</v>
      </c>
      <c r="F60" s="316" t="s">
        <v>57</v>
      </c>
      <c r="G60" s="317">
        <v>-15</v>
      </c>
      <c r="H60" s="317">
        <v>-10</v>
      </c>
      <c r="I60" s="317">
        <v>-8</v>
      </c>
      <c r="J60" s="317">
        <v>-5</v>
      </c>
    </row>
    <row r="61" spans="1:10">
      <c r="A61" s="7"/>
      <c r="B61" s="53"/>
      <c r="C61" s="53"/>
      <c r="D61" s="53"/>
    </row>
    <row r="62" spans="1:10">
      <c r="A62" s="7"/>
      <c r="B62" s="623" t="s">
        <v>706</v>
      </c>
      <c r="C62" s="318"/>
      <c r="D62" s="318"/>
      <c r="E62" s="319"/>
      <c r="F62" s="319"/>
      <c r="G62" s="319"/>
      <c r="H62" s="319"/>
      <c r="I62" s="319"/>
      <c r="J62" s="319"/>
    </row>
    <row r="63" spans="1:10">
      <c r="A63" s="7"/>
      <c r="B63" s="484" t="s">
        <v>707</v>
      </c>
      <c r="C63" s="320">
        <f>KPIs!C6</f>
        <v>4193</v>
      </c>
      <c r="D63" s="320">
        <f t="shared" ref="D63:J63" si="13">D18+D36+D46+D54+D59</f>
        <v>7250</v>
      </c>
      <c r="E63" s="320">
        <f t="shared" si="13"/>
        <v>12114</v>
      </c>
      <c r="F63" s="320">
        <f t="shared" si="13"/>
        <v>20243</v>
      </c>
      <c r="G63" s="320">
        <f>G18+G36+G46+G54+G59</f>
        <v>28641.421700000003</v>
      </c>
      <c r="H63" s="320">
        <f t="shared" si="13"/>
        <v>40122.272420000001</v>
      </c>
      <c r="I63" s="320">
        <f t="shared" si="13"/>
        <v>53093.729126500009</v>
      </c>
      <c r="J63" s="320">
        <f t="shared" si="13"/>
        <v>65159.790804879995</v>
      </c>
    </row>
    <row r="64" spans="1:10" ht="14.25">
      <c r="A64" s="7"/>
      <c r="B64" s="627" t="s">
        <v>140</v>
      </c>
      <c r="C64" s="259" t="s">
        <v>57</v>
      </c>
      <c r="D64" s="266">
        <f>D63/C63-1</f>
        <v>0.72907226329596941</v>
      </c>
      <c r="E64" s="266">
        <f t="shared" ref="E64:J64" si="14">E63/D63-1</f>
        <v>0.67089655172413787</v>
      </c>
      <c r="F64" s="266">
        <f t="shared" si="14"/>
        <v>0.67104176985306263</v>
      </c>
      <c r="G64" s="266">
        <f t="shared" si="14"/>
        <v>0.41488028948278433</v>
      </c>
      <c r="H64" s="266">
        <f t="shared" si="14"/>
        <v>0.40084779450735142</v>
      </c>
      <c r="I64" s="266">
        <f t="shared" si="14"/>
        <v>0.32329815646319293</v>
      </c>
      <c r="J64" s="266">
        <f t="shared" si="14"/>
        <v>0.22725963832059404</v>
      </c>
    </row>
    <row r="65" spans="1:10">
      <c r="A65" s="7"/>
      <c r="B65" s="301" t="s">
        <v>708</v>
      </c>
      <c r="J65" s="103">
        <f>(J63/F63)^(1/4)-1</f>
        <v>0.33944905926641034</v>
      </c>
    </row>
    <row r="66" spans="1:10">
      <c r="A66" s="7"/>
      <c r="B66" s="301" t="s">
        <v>709</v>
      </c>
      <c r="C66" s="103">
        <f>C18/C63</f>
        <v>0.81445265919389453</v>
      </c>
      <c r="D66" s="103">
        <f t="shared" ref="D66:J66" si="15">D18/D63</f>
        <v>0.62524137931034485</v>
      </c>
      <c r="E66" s="103">
        <f t="shared" si="15"/>
        <v>0.52509493148423314</v>
      </c>
      <c r="F66" s="103">
        <f t="shared" si="15"/>
        <v>0.399150323568641</v>
      </c>
      <c r="G66" s="103">
        <f t="shared" si="15"/>
        <v>0.34231855885841028</v>
      </c>
      <c r="H66" s="103">
        <f t="shared" si="15"/>
        <v>0.30005782808051623</v>
      </c>
      <c r="I66" s="103">
        <f t="shared" si="15"/>
        <v>0.27596503024096158</v>
      </c>
      <c r="J66" s="103">
        <f t="shared" si="15"/>
        <v>0.26308946803119759</v>
      </c>
    </row>
    <row r="67" spans="1:10">
      <c r="A67" s="7"/>
      <c r="B67" s="301" t="s">
        <v>710</v>
      </c>
      <c r="C67" s="103" t="s">
        <v>57</v>
      </c>
      <c r="D67" s="103">
        <f t="shared" ref="D67:J67" si="16">D36/D63</f>
        <v>0.11117241379310344</v>
      </c>
      <c r="E67" s="103">
        <f t="shared" si="16"/>
        <v>0.18994551758296185</v>
      </c>
      <c r="F67" s="103">
        <f t="shared" si="16"/>
        <v>0.25717531986365655</v>
      </c>
      <c r="G67" s="103">
        <f t="shared" si="16"/>
        <v>0.27532772578813708</v>
      </c>
      <c r="H67" s="103">
        <f t="shared" si="16"/>
        <v>0.30108813064083173</v>
      </c>
      <c r="I67" s="103">
        <f t="shared" si="16"/>
        <v>0.31356280367563377</v>
      </c>
      <c r="J67" s="103">
        <f t="shared" si="16"/>
        <v>0.31285511353227469</v>
      </c>
    </row>
    <row r="68" spans="1:10">
      <c r="A68" s="7"/>
      <c r="B68" s="301" t="s">
        <v>711</v>
      </c>
      <c r="C68" s="103">
        <f>C46/C63</f>
        <v>0.12830908657285953</v>
      </c>
      <c r="D68" s="103">
        <f t="shared" ref="D68:J68" si="17">D46/D63</f>
        <v>0.20772413793103447</v>
      </c>
      <c r="E68" s="103">
        <f t="shared" si="17"/>
        <v>0.26184579824995874</v>
      </c>
      <c r="F68" s="103">
        <f t="shared" si="17"/>
        <v>0.30608111445931929</v>
      </c>
      <c r="G68" s="103">
        <f t="shared" si="17"/>
        <v>0.34612806947359037</v>
      </c>
      <c r="H68" s="103">
        <f t="shared" si="17"/>
        <v>0.35827282785793912</v>
      </c>
      <c r="I68" s="103">
        <f t="shared" si="17"/>
        <v>0.36550214722653923</v>
      </c>
      <c r="J68" s="103">
        <f t="shared" si="17"/>
        <v>0.37227467584477425</v>
      </c>
    </row>
    <row r="69" spans="1:10">
      <c r="B69" s="595" t="s">
        <v>712</v>
      </c>
      <c r="C69" s="321">
        <f>'Historical Financials'!C42</f>
        <v>-973</v>
      </c>
      <c r="D69" s="321">
        <f>'Historical Financials'!D42</f>
        <v>-765</v>
      </c>
      <c r="E69" s="321">
        <f>'Historical Financials'!E42</f>
        <v>372</v>
      </c>
      <c r="F69" s="321">
        <f>'Historical Financials'!F42</f>
        <v>1079</v>
      </c>
      <c r="G69" s="321">
        <f>SUM(G42,G22,G56,G48)</f>
        <v>2274.8514759999994</v>
      </c>
      <c r="H69" s="321">
        <f t="shared" ref="H69:J69" si="18">SUM(H42,H22,H56,H48)</f>
        <v>3753.0490556</v>
      </c>
      <c r="I69" s="321">
        <f t="shared" si="18"/>
        <v>6529.8646311192006</v>
      </c>
      <c r="J69" s="321">
        <f t="shared" si="18"/>
        <v>9407.7513410675037</v>
      </c>
    </row>
    <row r="70" spans="1:10">
      <c r="B70" s="297" t="s">
        <v>713</v>
      </c>
      <c r="C70" s="309">
        <f>C69/C63</f>
        <v>-0.23205342237061768</v>
      </c>
      <c r="D70" s="309">
        <f t="shared" ref="D70:J70" si="19">D69/D63</f>
        <v>-0.10551724137931034</v>
      </c>
      <c r="E70" s="309">
        <f t="shared" si="19"/>
        <v>3.0708271421495788E-2</v>
      </c>
      <c r="F70" s="309">
        <f t="shared" si="19"/>
        <v>5.3302376130020257E-2</v>
      </c>
      <c r="G70" s="309">
        <f t="shared" si="19"/>
        <v>7.9425228950837978E-2</v>
      </c>
      <c r="H70" s="309">
        <f t="shared" si="19"/>
        <v>9.3540291444938056E-2</v>
      </c>
      <c r="I70" s="309">
        <f t="shared" si="19"/>
        <v>0.12298749284611901</v>
      </c>
      <c r="J70" s="309">
        <f t="shared" si="19"/>
        <v>0.14437970449044063</v>
      </c>
    </row>
    <row r="71" spans="1:10">
      <c r="C71" s="101"/>
    </row>
  </sheetData>
  <mergeCells count="6">
    <mergeCell ref="B58:J58"/>
    <mergeCell ref="B2:J2"/>
    <mergeCell ref="B5:J5"/>
    <mergeCell ref="B25:J25"/>
    <mergeCell ref="B45:J45"/>
    <mergeCell ref="B51:J5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A3EB8-599C-46C7-8007-C6C3A129B30F}">
  <sheetPr>
    <tabColor rgb="FF375623"/>
  </sheetPr>
  <dimension ref="A2:K327"/>
  <sheetViews>
    <sheetView showGridLines="0" workbookViewId="0">
      <pane xSplit="1" ySplit="3" topLeftCell="B185" activePane="bottomRight" state="frozen"/>
      <selection pane="bottomRight" activeCell="C55" sqref="C55:J55"/>
      <selection pane="bottomLeft"/>
      <selection pane="topRight"/>
    </sheetView>
  </sheetViews>
  <sheetFormatPr defaultRowHeight="15"/>
  <cols>
    <col min="1" max="1" width="1.85546875" customWidth="1"/>
    <col min="2" max="2" width="36.28515625" style="71" customWidth="1"/>
    <col min="3" max="10" width="14.7109375" style="65" customWidth="1"/>
    <col min="11" max="11" width="9.140625" style="35"/>
  </cols>
  <sheetData>
    <row r="2" spans="1:11" ht="20.25" customHeight="1">
      <c r="A2" s="5"/>
      <c r="B2" s="733" t="s">
        <v>714</v>
      </c>
      <c r="C2" s="652"/>
      <c r="D2" s="652"/>
      <c r="E2" s="652"/>
      <c r="F2" s="652"/>
      <c r="G2" s="652"/>
      <c r="H2" s="652"/>
      <c r="I2" s="652"/>
      <c r="J2" s="652"/>
      <c r="K2" s="833"/>
    </row>
    <row r="3" spans="1:11" ht="18.75" customHeight="1">
      <c r="A3" s="5"/>
      <c r="B3" s="207" t="s">
        <v>127</v>
      </c>
      <c r="C3" s="208" t="s">
        <v>47</v>
      </c>
      <c r="D3" s="208" t="s">
        <v>48</v>
      </c>
      <c r="E3" s="208" t="s">
        <v>49</v>
      </c>
      <c r="F3" s="208" t="s">
        <v>50</v>
      </c>
      <c r="G3" s="208" t="s">
        <v>51</v>
      </c>
      <c r="H3" s="208" t="s">
        <v>52</v>
      </c>
      <c r="I3" s="208" t="s">
        <v>53</v>
      </c>
      <c r="J3" s="208" t="s">
        <v>54</v>
      </c>
      <c r="K3" s="833"/>
    </row>
    <row r="4" spans="1:11" s="1" customFormat="1" ht="18.75" customHeight="1">
      <c r="A4" s="27"/>
      <c r="B4" s="209"/>
      <c r="C4" s="81"/>
      <c r="D4" s="81"/>
      <c r="E4" s="81"/>
      <c r="F4" s="81"/>
      <c r="G4" s="81"/>
      <c r="H4" s="81"/>
      <c r="I4" s="81"/>
      <c r="J4" s="81"/>
      <c r="K4" s="834"/>
    </row>
    <row r="5" spans="1:11">
      <c r="A5" s="5"/>
      <c r="B5" s="749" t="s">
        <v>715</v>
      </c>
      <c r="C5" s="749"/>
      <c r="D5" s="749"/>
      <c r="E5" s="749"/>
      <c r="F5" s="749"/>
      <c r="G5" s="749"/>
      <c r="H5" s="749"/>
      <c r="I5" s="749"/>
      <c r="J5" s="749"/>
      <c r="K5" s="833"/>
    </row>
    <row r="6" spans="1:11">
      <c r="A6" s="5"/>
      <c r="B6" s="484" t="s">
        <v>716</v>
      </c>
      <c r="K6" s="833"/>
    </row>
    <row r="7" spans="1:11">
      <c r="A7" s="5"/>
      <c r="B7" s="210" t="s">
        <v>717</v>
      </c>
      <c r="C7" s="211">
        <f>'Historical Financials'!C12</f>
        <v>4193</v>
      </c>
      <c r="D7" s="211">
        <f>'Historical Financials'!D12</f>
        <v>7079</v>
      </c>
      <c r="E7" s="211">
        <f>'Historical Financials'!E12</f>
        <v>12114</v>
      </c>
      <c r="F7" s="211">
        <f>'Historical Financials'!F12</f>
        <v>20243</v>
      </c>
      <c r="G7" s="211">
        <f>'Revenue Model'!G63</f>
        <v>28641.421700000003</v>
      </c>
      <c r="H7" s="211">
        <f>'Revenue Model'!H63</f>
        <v>40122.272420000001</v>
      </c>
      <c r="I7" s="211">
        <f>'Revenue Model'!I63</f>
        <v>53093.729126500009</v>
      </c>
      <c r="J7" s="211">
        <f>'Revenue Model'!J63</f>
        <v>65159.790804879995</v>
      </c>
      <c r="K7" s="833"/>
    </row>
    <row r="8" spans="1:11">
      <c r="A8" s="5"/>
      <c r="B8" s="53" t="s">
        <v>718</v>
      </c>
      <c r="C8" s="72">
        <f>'Historical Financials'!C7</f>
        <v>3415</v>
      </c>
      <c r="D8" s="72">
        <f>'Historical Financials'!D7</f>
        <v>4533</v>
      </c>
      <c r="E8" s="72">
        <f>'Historical Financials'!E7</f>
        <v>6361</v>
      </c>
      <c r="F8" s="72">
        <f>'Historical Financials'!F7</f>
        <v>8080</v>
      </c>
      <c r="G8" s="72">
        <f>'Revenue Model'!G18</f>
        <v>9804.4902000000002</v>
      </c>
      <c r="H8" s="72">
        <f>'Revenue Model'!H18</f>
        <v>12039.001919999999</v>
      </c>
      <c r="I8" s="72">
        <f>'Revenue Model'!I18</f>
        <v>14652.012563999999</v>
      </c>
      <c r="J8" s="72">
        <f>'Revenue Model'!J18</f>
        <v>17142.854699879997</v>
      </c>
      <c r="K8" s="833"/>
    </row>
    <row r="9" spans="1:11">
      <c r="A9" s="5"/>
      <c r="B9" s="53" t="s">
        <v>719</v>
      </c>
      <c r="C9" s="72" t="s">
        <v>57</v>
      </c>
      <c r="D9" s="72">
        <f>'Historical Financials'!D8</f>
        <v>806</v>
      </c>
      <c r="E9" s="72">
        <f>'Historical Financials'!E8</f>
        <v>2301</v>
      </c>
      <c r="F9" s="72">
        <f>'Historical Financials'!F8</f>
        <v>5206</v>
      </c>
      <c r="G9" s="72">
        <f>'Revenue Model'!G36</f>
        <v>7885.7774999999992</v>
      </c>
      <c r="H9" s="72">
        <f>'Revenue Model'!H36</f>
        <v>12080.34</v>
      </c>
      <c r="I9" s="72">
        <f>'Revenue Model'!I36</f>
        <v>16648.218562500002</v>
      </c>
      <c r="J9" s="72">
        <f>'Revenue Model'!J36</f>
        <v>20385.57375</v>
      </c>
      <c r="K9" s="833"/>
    </row>
    <row r="10" spans="1:11">
      <c r="A10" s="5"/>
      <c r="B10" s="53" t="s">
        <v>720</v>
      </c>
      <c r="C10" s="72">
        <f>'Historical Financials'!C9</f>
        <v>538</v>
      </c>
      <c r="D10" s="72">
        <f>'Historical Financials'!D9</f>
        <v>1506</v>
      </c>
      <c r="E10" s="72">
        <f>'Historical Financials'!E9</f>
        <v>3172</v>
      </c>
      <c r="F10" s="72">
        <f>'Historical Financials'!F9</f>
        <v>6196</v>
      </c>
      <c r="G10" s="72">
        <f>'Revenue Model'!G46</f>
        <v>9913.6</v>
      </c>
      <c r="H10" s="72">
        <f>'Revenue Model'!H46</f>
        <v>14374.72</v>
      </c>
      <c r="I10" s="72">
        <f>'Revenue Model'!I46</f>
        <v>19405.871999999999</v>
      </c>
      <c r="J10" s="72">
        <f>'Revenue Model'!J46</f>
        <v>24257.34</v>
      </c>
      <c r="K10" s="833"/>
    </row>
    <row r="11" spans="1:11">
      <c r="A11" s="5"/>
      <c r="B11" s="53" t="s">
        <v>721</v>
      </c>
      <c r="C11" s="72" t="str">
        <f>'Historical Financials'!C10</f>
        <v>-</v>
      </c>
      <c r="D11" s="72" t="str">
        <f>'Historical Financials'!D10</f>
        <v>-</v>
      </c>
      <c r="E11" s="72">
        <f>'Historical Financials'!E10</f>
        <v>258</v>
      </c>
      <c r="F11" s="72">
        <f>'Historical Financials'!F10</f>
        <v>737</v>
      </c>
      <c r="G11" s="72">
        <f>'Revenue Model'!G54</f>
        <v>1012.554</v>
      </c>
      <c r="H11" s="72">
        <f>'Revenue Model'!H54</f>
        <v>1603.2105000000001</v>
      </c>
      <c r="I11" s="72">
        <f>'Revenue Model'!I54</f>
        <v>2362.6260000000002</v>
      </c>
      <c r="J11" s="72">
        <f>'Revenue Model'!J54</f>
        <v>3349.0223550000005</v>
      </c>
      <c r="K11" s="833"/>
    </row>
    <row r="12" spans="1:11">
      <c r="A12" s="5"/>
      <c r="B12" s="53" t="s">
        <v>722</v>
      </c>
      <c r="C12" s="72">
        <f>'Historical Financials'!C11</f>
        <v>240</v>
      </c>
      <c r="D12" s="72">
        <f>'Historical Financials'!D11</f>
        <v>234</v>
      </c>
      <c r="E12" s="72">
        <f>'Historical Financials'!E11</f>
        <v>22</v>
      </c>
      <c r="F12" s="72">
        <f>'Historical Financials'!F11</f>
        <v>24</v>
      </c>
      <c r="G12" s="59">
        <f>'Revenue Model'!G59</f>
        <v>25</v>
      </c>
      <c r="H12" s="59">
        <f>'Revenue Model'!H59</f>
        <v>25</v>
      </c>
      <c r="I12" s="59">
        <f>'Revenue Model'!I59</f>
        <v>25</v>
      </c>
      <c r="J12" s="59">
        <f>'Revenue Model'!J59</f>
        <v>25</v>
      </c>
      <c r="K12" s="833"/>
    </row>
    <row r="13" spans="1:11">
      <c r="A13" s="5"/>
      <c r="B13" s="627" t="s">
        <v>140</v>
      </c>
      <c r="C13" s="59" t="s">
        <v>57</v>
      </c>
      <c r="D13" s="55">
        <f>D7/C7-1</f>
        <v>0.68829000715478172</v>
      </c>
      <c r="E13" s="55">
        <f t="shared" ref="E13:J13" si="0">E7/D7-1</f>
        <v>0.71125865235202723</v>
      </c>
      <c r="F13" s="55">
        <f t="shared" si="0"/>
        <v>0.67104176985306263</v>
      </c>
      <c r="G13" s="55">
        <f t="shared" si="0"/>
        <v>0.41488028948278433</v>
      </c>
      <c r="H13" s="55">
        <f t="shared" si="0"/>
        <v>0.40084779450735142</v>
      </c>
      <c r="I13" s="55">
        <f t="shared" si="0"/>
        <v>0.32329815646319293</v>
      </c>
      <c r="J13" s="55">
        <f t="shared" si="0"/>
        <v>0.22725963832059404</v>
      </c>
      <c r="K13" s="833"/>
    </row>
    <row r="14" spans="1:11">
      <c r="A14" s="5"/>
      <c r="B14" s="212" t="s">
        <v>723</v>
      </c>
      <c r="C14" s="213">
        <f>'Historical Financials'!C15</f>
        <v>495</v>
      </c>
      <c r="D14" s="213">
        <f>'Historical Financials'!D15</f>
        <v>681</v>
      </c>
      <c r="E14" s="213">
        <f>'Historical Financials'!E15</f>
        <v>847</v>
      </c>
      <c r="F14" s="213">
        <f>'Historical Financials'!F15</f>
        <v>1077</v>
      </c>
      <c r="G14" s="214">
        <f>Assumptions!E138*0.07</f>
        <v>1085</v>
      </c>
      <c r="H14" s="214">
        <f>Assumptions!F138*0.07</f>
        <v>945.00000000000011</v>
      </c>
      <c r="I14" s="214">
        <f>Assumptions!G138*0.07</f>
        <v>840.00000000000011</v>
      </c>
      <c r="J14" s="214">
        <f>Assumptions!H138*0.07</f>
        <v>770.00000000000011</v>
      </c>
      <c r="K14" s="833"/>
    </row>
    <row r="15" spans="1:11">
      <c r="A15" s="5"/>
      <c r="B15" s="215" t="s">
        <v>724</v>
      </c>
      <c r="C15" s="216">
        <f>C7+C14</f>
        <v>4688</v>
      </c>
      <c r="D15" s="216">
        <f t="shared" ref="D15:J15" si="1">D7+D14</f>
        <v>7760</v>
      </c>
      <c r="E15" s="216">
        <f t="shared" si="1"/>
        <v>12961</v>
      </c>
      <c r="F15" s="216">
        <f t="shared" si="1"/>
        <v>21320</v>
      </c>
      <c r="G15" s="216">
        <f t="shared" si="1"/>
        <v>29726.421700000003</v>
      </c>
      <c r="H15" s="216">
        <f t="shared" si="1"/>
        <v>41067.272420000001</v>
      </c>
      <c r="I15" s="216">
        <f t="shared" si="1"/>
        <v>53933.729126500009</v>
      </c>
      <c r="J15" s="216">
        <f t="shared" si="1"/>
        <v>65929.790804880002</v>
      </c>
      <c r="K15" s="833"/>
    </row>
    <row r="16" spans="1:11">
      <c r="A16" s="5"/>
      <c r="B16" s="53"/>
      <c r="K16" s="833"/>
    </row>
    <row r="17" spans="1:10">
      <c r="A17" s="5"/>
      <c r="B17" s="484" t="s">
        <v>725</v>
      </c>
    </row>
    <row r="18" spans="1:10">
      <c r="A18" s="5"/>
      <c r="B18" s="627" t="s">
        <v>144</v>
      </c>
      <c r="C18" s="217">
        <f>'Historical Financials'!C19</f>
        <v>552</v>
      </c>
      <c r="D18" s="217">
        <f>'Historical Financials'!D19</f>
        <v>1438</v>
      </c>
      <c r="E18" s="217">
        <f>'Historical Financials'!E19</f>
        <v>2887</v>
      </c>
      <c r="F18" s="217">
        <f>'Historical Financials'!F19</f>
        <v>5653</v>
      </c>
      <c r="G18" s="218">
        <f>ROUND(('Revenue Model'!G36+'Revenue Model'!G46)*Assumptions!E161,0)</f>
        <v>8828</v>
      </c>
      <c r="H18" s="218">
        <f>ROUND(('Revenue Model'!H36+'Revenue Model'!H46)*Assumptions!F161,0)</f>
        <v>13122</v>
      </c>
      <c r="I18" s="218">
        <f>ROUND(('Revenue Model'!I36+'Revenue Model'!I46)*Assumptions!G161,0)</f>
        <v>17919</v>
      </c>
      <c r="J18" s="218">
        <f>ROUND(('Revenue Model'!J36+'Revenue Model'!J46)*Assumptions!H161,0)</f>
        <v>22143</v>
      </c>
    </row>
    <row r="19" spans="1:10">
      <c r="A19" s="5"/>
      <c r="B19" s="627" t="s">
        <v>726</v>
      </c>
      <c r="C19" s="217">
        <f>'Historical Financials'!C20</f>
        <v>-43</v>
      </c>
      <c r="D19" s="217">
        <f>'Historical Financials'!D20</f>
        <v>-28</v>
      </c>
      <c r="E19" s="217">
        <f>'Historical Financials'!E20</f>
        <v>-5</v>
      </c>
      <c r="F19" s="217">
        <f>'Historical Financials'!F20</f>
        <v>-88</v>
      </c>
      <c r="G19" s="217">
        <f>-(G73-F73)</f>
        <v>-114</v>
      </c>
      <c r="H19" s="217">
        <f t="shared" ref="H19:J19" si="2">-(H73-G73)</f>
        <v>-141</v>
      </c>
      <c r="I19" s="217">
        <f t="shared" si="2"/>
        <v>-109</v>
      </c>
      <c r="J19" s="217">
        <f t="shared" si="2"/>
        <v>-67</v>
      </c>
    </row>
    <row r="20" spans="1:10">
      <c r="A20" s="5"/>
      <c r="B20" s="627" t="s">
        <v>146</v>
      </c>
      <c r="C20" s="217">
        <f>'Historical Financials'!C21</f>
        <v>1814</v>
      </c>
      <c r="D20" s="217">
        <f>'Historical Financials'!D21</f>
        <v>2537</v>
      </c>
      <c r="E20" s="217">
        <f>'Historical Financials'!E21</f>
        <v>3915</v>
      </c>
      <c r="F20" s="217">
        <f>'Historical Financials'!F21</f>
        <v>5728</v>
      </c>
      <c r="G20" s="72">
        <f>ROUND(G7*Assumptions!E108,0)</f>
        <v>7876</v>
      </c>
      <c r="H20" s="72">
        <f>ROUND(H7*Assumptions!F108,0)</f>
        <v>10632</v>
      </c>
      <c r="I20" s="72">
        <f>ROUND(I7*Assumptions!G108,0)</f>
        <v>13539</v>
      </c>
      <c r="J20" s="72">
        <f>ROUND(J7*Assumptions!H108,0)</f>
        <v>15964</v>
      </c>
    </row>
    <row r="21" spans="1:10">
      <c r="A21" s="5"/>
      <c r="B21" s="627" t="s">
        <v>727</v>
      </c>
      <c r="C21" s="217">
        <f>'Historical Financials'!C27</f>
        <v>755</v>
      </c>
      <c r="D21" s="217">
        <f>'Historical Financials'!D27</f>
        <v>959</v>
      </c>
      <c r="E21" s="217">
        <f>'Historical Financials'!E27</f>
        <v>1144</v>
      </c>
      <c r="F21" s="217">
        <f>'Historical Financials'!F27</f>
        <v>1760</v>
      </c>
      <c r="G21" s="72">
        <f>ROUND(G7*Assumptions!E162,0)</f>
        <v>2091</v>
      </c>
      <c r="H21" s="72">
        <f>ROUND(H7*Assumptions!F162,0)</f>
        <v>2528</v>
      </c>
      <c r="I21" s="72">
        <f>ROUND(I7*Assumptions!G162,0)</f>
        <v>2920</v>
      </c>
      <c r="J21" s="72">
        <f>ROUND(J7*Assumptions!H162,0)</f>
        <v>3323</v>
      </c>
    </row>
    <row r="22" spans="1:10">
      <c r="A22" s="5"/>
      <c r="B22" s="627" t="s">
        <v>728</v>
      </c>
      <c r="C22" s="217">
        <f>'Historical Financials'!C28</f>
        <v>878</v>
      </c>
      <c r="D22" s="217">
        <f>'Historical Financials'!D28</f>
        <v>506</v>
      </c>
      <c r="E22" s="217">
        <f>'Historical Financials'!E28</f>
        <v>515</v>
      </c>
      <c r="F22" s="217">
        <f>'Historical Financials'!F28</f>
        <v>798</v>
      </c>
      <c r="G22" s="59">
        <f>Assumptions!E163</f>
        <v>900</v>
      </c>
      <c r="H22" s="59">
        <f>Assumptions!F163</f>
        <v>950</v>
      </c>
      <c r="I22" s="59">
        <f>Assumptions!G163</f>
        <v>900</v>
      </c>
      <c r="J22" s="59">
        <f>Assumptions!H163</f>
        <v>850</v>
      </c>
    </row>
    <row r="23" spans="1:10">
      <c r="A23" s="5"/>
      <c r="B23" s="627" t="s">
        <v>729</v>
      </c>
      <c r="C23" s="72">
        <f>'Historical Financials'!C32</f>
        <v>1633</v>
      </c>
      <c r="D23" s="72">
        <f>'Historical Financials'!D32</f>
        <v>1465</v>
      </c>
      <c r="E23" s="72">
        <f>'Historical Financials'!E32</f>
        <v>526</v>
      </c>
      <c r="F23" s="72">
        <f>'Historical Financials'!F32</f>
        <v>863</v>
      </c>
      <c r="G23" s="72">
        <f>ROUND(G7*Assumptions!E113,0)</f>
        <v>1432</v>
      </c>
      <c r="H23" s="72">
        <f>ROUND(H7*Assumptions!F113,0)</f>
        <v>1926</v>
      </c>
      <c r="I23" s="72">
        <f>ROUND(I7*Assumptions!G113,0)</f>
        <v>2389</v>
      </c>
      <c r="J23" s="72">
        <f>ROUND(J7*Assumptions!H113,0)</f>
        <v>2932</v>
      </c>
    </row>
    <row r="24" spans="1:10">
      <c r="A24" s="5"/>
      <c r="B24" s="627" t="s">
        <v>730</v>
      </c>
      <c r="C24" s="72">
        <f>'Historical Financials'!C33</f>
        <v>289</v>
      </c>
      <c r="D24" s="72">
        <f>'Historical Financials'!D33</f>
        <v>387</v>
      </c>
      <c r="E24" s="72">
        <f>'Historical Financials'!E33</f>
        <v>485</v>
      </c>
      <c r="F24" s="72">
        <f>'Historical Financials'!F33</f>
        <v>644</v>
      </c>
      <c r="G24" s="59">
        <f>ROUND(G7*Assumptions!E118,0)</f>
        <v>859</v>
      </c>
      <c r="H24" s="59">
        <f>ROUND(H7*Assumptions!F118,0)</f>
        <v>1123</v>
      </c>
      <c r="I24" s="59">
        <f>ROUND(I7*Assumptions!G118,0)</f>
        <v>1380</v>
      </c>
      <c r="J24" s="59">
        <f>ROUND(J7*Assumptions!H118,0)</f>
        <v>1629</v>
      </c>
    </row>
    <row r="25" spans="1:10">
      <c r="A25" s="5"/>
      <c r="B25" s="219" t="s">
        <v>731</v>
      </c>
      <c r="C25" s="220">
        <f>'Historical Financials'!C40-C20-'Historical Financials'!C32-'Historical Financials'!C33</f>
        <v>119</v>
      </c>
      <c r="D25" s="220">
        <f>'Historical Financials'!D40-D20-'Historical Financials'!D32-'Historical Financials'!D33</f>
        <v>1041</v>
      </c>
      <c r="E25" s="220">
        <f>'Historical Financials'!E40-E20-'Historical Financials'!E32-'Historical Financials'!E33</f>
        <v>2605</v>
      </c>
      <c r="F25" s="220">
        <f>'Historical Financials'!F40-F20-'Historical Financials'!F32-'Historical Financials'!F33</f>
        <v>4248</v>
      </c>
      <c r="G25" s="220">
        <f>ROUND(G7*0.08,0)</f>
        <v>2291</v>
      </c>
      <c r="H25" s="220">
        <f t="shared" ref="H25:J25" si="3">ROUND(H7*0.08,0)</f>
        <v>3210</v>
      </c>
      <c r="I25" s="220">
        <f t="shared" si="3"/>
        <v>4247</v>
      </c>
      <c r="J25" s="220">
        <f t="shared" si="3"/>
        <v>5213</v>
      </c>
    </row>
    <row r="26" spans="1:10">
      <c r="A26" s="5"/>
      <c r="B26" s="53"/>
    </row>
    <row r="27" spans="1:10">
      <c r="A27" s="5"/>
      <c r="B27" s="221" t="s">
        <v>732</v>
      </c>
      <c r="C27" s="64">
        <f>'Historical Financials'!C42</f>
        <v>-973</v>
      </c>
      <c r="D27" s="64">
        <f>'Historical Financials'!D42</f>
        <v>-765</v>
      </c>
      <c r="E27" s="64">
        <f>'Historical Financials'!E42</f>
        <v>372</v>
      </c>
      <c r="F27" s="64">
        <f>'Historical Financials'!F42</f>
        <v>1079</v>
      </c>
      <c r="G27" s="211">
        <f>'Revenue Model'!G69</f>
        <v>2274.8514759999994</v>
      </c>
      <c r="H27" s="211">
        <f>'Revenue Model'!H69</f>
        <v>3753.0490556</v>
      </c>
      <c r="I27" s="211">
        <f>'Revenue Model'!I69</f>
        <v>6529.8646311192006</v>
      </c>
      <c r="J27" s="211">
        <f>'Revenue Model'!J69</f>
        <v>9407.7513410675037</v>
      </c>
    </row>
    <row r="28" spans="1:10">
      <c r="A28" s="5"/>
      <c r="B28" s="627" t="s">
        <v>713</v>
      </c>
      <c r="C28" s="55">
        <f>C27/C7</f>
        <v>-0.23205342237061768</v>
      </c>
      <c r="D28" s="55">
        <f t="shared" ref="D28:J28" si="4">D27/D7</f>
        <v>-0.10806611103263172</v>
      </c>
      <c r="E28" s="55">
        <f t="shared" si="4"/>
        <v>3.0708271421495788E-2</v>
      </c>
      <c r="F28" s="55">
        <f t="shared" si="4"/>
        <v>5.3302376130020257E-2</v>
      </c>
      <c r="G28" s="55">
        <f t="shared" si="4"/>
        <v>7.9425228950837978E-2</v>
      </c>
      <c r="H28" s="55">
        <f t="shared" si="4"/>
        <v>9.3540291444938056E-2</v>
      </c>
      <c r="I28" s="55">
        <f t="shared" si="4"/>
        <v>0.12298749284611901</v>
      </c>
      <c r="J28" s="55">
        <f t="shared" si="4"/>
        <v>0.14437970449044063</v>
      </c>
    </row>
    <row r="29" spans="1:10">
      <c r="A29" s="5"/>
      <c r="B29" s="627" t="s">
        <v>733</v>
      </c>
      <c r="C29" s="217">
        <f>C22</f>
        <v>878</v>
      </c>
      <c r="D29" s="217">
        <f t="shared" ref="D29:J29" si="5">D22</f>
        <v>506</v>
      </c>
      <c r="E29" s="217">
        <f t="shared" si="5"/>
        <v>515</v>
      </c>
      <c r="F29" s="217">
        <f t="shared" si="5"/>
        <v>798</v>
      </c>
      <c r="G29" s="217">
        <f t="shared" si="5"/>
        <v>900</v>
      </c>
      <c r="H29" s="217">
        <f t="shared" si="5"/>
        <v>950</v>
      </c>
      <c r="I29" s="217">
        <f t="shared" si="5"/>
        <v>900</v>
      </c>
      <c r="J29" s="217">
        <f t="shared" si="5"/>
        <v>850</v>
      </c>
    </row>
    <row r="30" spans="1:10">
      <c r="A30" s="5"/>
      <c r="B30" s="210" t="s">
        <v>734</v>
      </c>
      <c r="C30" s="629">
        <f>C27-C29</f>
        <v>-1851</v>
      </c>
      <c r="D30" s="629">
        <f t="shared" ref="D30:J30" si="6">D27-D29</f>
        <v>-1271</v>
      </c>
      <c r="E30" s="629">
        <f t="shared" si="6"/>
        <v>-143</v>
      </c>
      <c r="F30" s="629">
        <f t="shared" si="6"/>
        <v>281</v>
      </c>
      <c r="G30" s="629">
        <f t="shared" si="6"/>
        <v>1374.8514759999994</v>
      </c>
      <c r="H30" s="629">
        <f t="shared" si="6"/>
        <v>2803.0490556</v>
      </c>
      <c r="I30" s="629">
        <f t="shared" si="6"/>
        <v>5629.8646311192006</v>
      </c>
      <c r="J30" s="629">
        <f t="shared" si="6"/>
        <v>8557.7513410675037</v>
      </c>
    </row>
    <row r="31" spans="1:10">
      <c r="A31" s="5"/>
      <c r="B31" s="53"/>
    </row>
    <row r="32" spans="1:10">
      <c r="A32" s="5"/>
      <c r="B32" s="484" t="s">
        <v>735</v>
      </c>
    </row>
    <row r="33" spans="1:11">
      <c r="A33" s="5"/>
      <c r="B33" s="627" t="s">
        <v>172</v>
      </c>
      <c r="C33" s="217">
        <f>'Historical Financials'!C54</f>
        <v>287</v>
      </c>
      <c r="D33" s="217">
        <f>'Historical Financials'!D54</f>
        <v>212</v>
      </c>
      <c r="E33" s="217">
        <f>'Historical Financials'!E54</f>
        <v>524</v>
      </c>
      <c r="F33" s="217">
        <f>'Historical Financials'!F54</f>
        <v>247</v>
      </c>
      <c r="G33" s="222">
        <f>Assumptions!E127</f>
        <v>380</v>
      </c>
      <c r="H33" s="222">
        <f>Assumptions!F127</f>
        <v>480</v>
      </c>
      <c r="I33" s="222">
        <f>Assumptions!G127</f>
        <v>560</v>
      </c>
      <c r="J33" s="222">
        <f>Assumptions!H127</f>
        <v>620</v>
      </c>
      <c r="K33" s="833"/>
    </row>
    <row r="34" spans="1:11">
      <c r="A34" s="5"/>
      <c r="B34" s="627" t="s">
        <v>173</v>
      </c>
      <c r="C34" s="217">
        <f>'Historical Financials'!C55</f>
        <v>108</v>
      </c>
      <c r="D34" s="217">
        <f>'Historical Financials'!D55</f>
        <v>256</v>
      </c>
      <c r="E34" s="217">
        <f>'Historical Financials'!E55</f>
        <v>242</v>
      </c>
      <c r="F34" s="217">
        <f>'Historical Financials'!F55</f>
        <v>287</v>
      </c>
      <c r="G34" s="222">
        <f>Assumptions!E128</f>
        <v>250</v>
      </c>
      <c r="H34" s="222">
        <f>Assumptions!F128</f>
        <v>200</v>
      </c>
      <c r="I34" s="222">
        <f>Assumptions!G128</f>
        <v>160</v>
      </c>
      <c r="J34" s="222">
        <f>Assumptions!H128</f>
        <v>130</v>
      </c>
      <c r="K34" s="833"/>
    </row>
    <row r="35" spans="1:11">
      <c r="A35" s="5"/>
      <c r="B35" s="212" t="s">
        <v>736</v>
      </c>
      <c r="C35" s="213">
        <f>'Historical Financials'!C56</f>
        <v>151</v>
      </c>
      <c r="D35" s="213">
        <f>'Historical Financials'!D56</f>
        <v>109</v>
      </c>
      <c r="E35" s="213">
        <f>'Historical Financials'!E56</f>
        <v>159</v>
      </c>
      <c r="F35" s="213">
        <f>'Historical Financials'!F56</f>
        <v>329</v>
      </c>
      <c r="G35" s="223">
        <f>Assumptions!E129</f>
        <v>500</v>
      </c>
      <c r="H35" s="223">
        <f>Assumptions!F129</f>
        <v>700</v>
      </c>
      <c r="I35" s="223">
        <f>Assumptions!G129</f>
        <v>870</v>
      </c>
      <c r="J35" s="223">
        <f>Assumptions!H129</f>
        <v>990</v>
      </c>
      <c r="K35" s="833"/>
    </row>
    <row r="36" spans="1:11">
      <c r="A36" s="5"/>
      <c r="B36" s="215" t="s">
        <v>737</v>
      </c>
      <c r="C36" s="224">
        <f>SUM(C33:C35)</f>
        <v>546</v>
      </c>
      <c r="D36" s="224">
        <f t="shared" ref="D36:J36" si="7">SUM(D33:D35)</f>
        <v>577</v>
      </c>
      <c r="E36" s="224">
        <f t="shared" si="7"/>
        <v>925</v>
      </c>
      <c r="F36" s="224">
        <f t="shared" si="7"/>
        <v>863</v>
      </c>
      <c r="G36" s="224">
        <f t="shared" si="7"/>
        <v>1130</v>
      </c>
      <c r="H36" s="224">
        <f t="shared" si="7"/>
        <v>1380</v>
      </c>
      <c r="I36" s="224">
        <f t="shared" si="7"/>
        <v>1590</v>
      </c>
      <c r="J36" s="224">
        <f t="shared" si="7"/>
        <v>1740</v>
      </c>
      <c r="K36" s="833"/>
    </row>
    <row r="37" spans="1:11">
      <c r="A37" s="5"/>
      <c r="B37" s="53"/>
      <c r="K37" s="833"/>
    </row>
    <row r="38" spans="1:11">
      <c r="A38" s="5"/>
      <c r="B38" s="221" t="s">
        <v>178</v>
      </c>
      <c r="C38" s="629">
        <f>C27-C36</f>
        <v>-1519</v>
      </c>
      <c r="D38" s="629">
        <f t="shared" ref="D38:J38" si="8">D27-D36</f>
        <v>-1342</v>
      </c>
      <c r="E38" s="629">
        <f t="shared" si="8"/>
        <v>-553</v>
      </c>
      <c r="F38" s="629">
        <f t="shared" si="8"/>
        <v>216</v>
      </c>
      <c r="G38" s="629">
        <f t="shared" si="8"/>
        <v>1144.8514759999994</v>
      </c>
      <c r="H38" s="629">
        <f t="shared" si="8"/>
        <v>2373.0490556</v>
      </c>
      <c r="I38" s="629">
        <f t="shared" si="8"/>
        <v>4939.8646311192006</v>
      </c>
      <c r="J38" s="629">
        <f t="shared" si="8"/>
        <v>7667.7513410675037</v>
      </c>
      <c r="K38" s="833"/>
    </row>
    <row r="39" spans="1:11">
      <c r="A39" s="5"/>
      <c r="B39" s="627" t="s">
        <v>179</v>
      </c>
      <c r="C39" s="55">
        <f>C38/C7</f>
        <v>-0.36227045075125208</v>
      </c>
      <c r="D39" s="55">
        <f t="shared" ref="D39:J39" si="9">D38/D7</f>
        <v>-0.18957479870038141</v>
      </c>
      <c r="E39" s="55">
        <f t="shared" si="9"/>
        <v>-4.5649661548621427E-2</v>
      </c>
      <c r="F39" s="55">
        <f t="shared" si="9"/>
        <v>1.0670355184508226E-2</v>
      </c>
      <c r="G39" s="55">
        <f t="shared" si="9"/>
        <v>3.9971880166828427E-2</v>
      </c>
      <c r="H39" s="55">
        <f t="shared" si="9"/>
        <v>5.9145430018492456E-2</v>
      </c>
      <c r="I39" s="55">
        <f t="shared" si="9"/>
        <v>9.3040453409282714E-2</v>
      </c>
      <c r="J39" s="55">
        <f t="shared" si="9"/>
        <v>0.1176761196798263</v>
      </c>
      <c r="K39" s="833"/>
    </row>
    <row r="40" spans="1:11">
      <c r="A40" s="5"/>
      <c r="B40" s="53"/>
      <c r="K40" s="833"/>
    </row>
    <row r="41" spans="1:11">
      <c r="A41" s="5"/>
      <c r="B41" s="484" t="s">
        <v>738</v>
      </c>
      <c r="K41" s="833"/>
    </row>
    <row r="42" spans="1:11">
      <c r="A42" s="5"/>
      <c r="B42" s="627" t="s">
        <v>739</v>
      </c>
      <c r="C42" s="217">
        <f>'Historical Financials'!C64</f>
        <v>9</v>
      </c>
      <c r="D42" s="217">
        <f>'Historical Financials'!D64</f>
        <v>41</v>
      </c>
      <c r="E42" s="217">
        <f>'Historical Financials'!E64</f>
        <v>67</v>
      </c>
      <c r="F42" s="217">
        <f>'Historical Financials'!F64</f>
        <v>147</v>
      </c>
      <c r="G42" s="59">
        <f>ROUND(Assumptions!E140*0.085,0)</f>
        <v>264</v>
      </c>
      <c r="H42" s="59">
        <f>ROUND(Assumptions!F140*0.085,0)</f>
        <v>357</v>
      </c>
      <c r="I42" s="59">
        <f>ROUND(Assumptions!G140*0.085,0)</f>
        <v>417</v>
      </c>
      <c r="J42" s="59">
        <f>ROUND(Assumptions!H140*0.085,0)</f>
        <v>442</v>
      </c>
      <c r="K42" s="833"/>
    </row>
    <row r="43" spans="1:11">
      <c r="A43" s="5"/>
      <c r="B43" s="627" t="s">
        <v>180</v>
      </c>
      <c r="C43" s="217">
        <f>'Historical Financials'!C63</f>
        <v>15</v>
      </c>
      <c r="D43" s="217">
        <f>'Historical Financials'!D63</f>
        <v>24</v>
      </c>
      <c r="E43" s="217" t="str">
        <f>'Historical Financials'!E63</f>
        <v>-</v>
      </c>
      <c r="F43" s="217" t="str">
        <f>'Historical Financials'!F63</f>
        <v>-</v>
      </c>
      <c r="G43" s="59">
        <f>Assumptions!E168</f>
        <v>5</v>
      </c>
      <c r="H43" s="59">
        <f>Assumptions!F168</f>
        <v>5</v>
      </c>
      <c r="I43" s="59">
        <f>Assumptions!G168</f>
        <v>5</v>
      </c>
      <c r="J43" s="59">
        <f>Assumptions!H168</f>
        <v>5</v>
      </c>
      <c r="K43" s="833"/>
    </row>
    <row r="44" spans="1:11">
      <c r="A44" s="5"/>
      <c r="B44" s="627" t="s">
        <v>740</v>
      </c>
      <c r="C44" s="54">
        <f>'Historical Financials'!C66</f>
        <v>297</v>
      </c>
      <c r="D44" s="54">
        <f>'Historical Financials'!D66</f>
        <v>0</v>
      </c>
      <c r="E44" s="54">
        <f>'Historical Financials'!E66</f>
        <v>0</v>
      </c>
      <c r="F44" s="54">
        <f>'Historical Financials'!F66</f>
        <v>0</v>
      </c>
      <c r="G44" s="54">
        <f>Assumptions!E169</f>
        <v>0</v>
      </c>
      <c r="H44" s="54">
        <f>Assumptions!F169</f>
        <v>0</v>
      </c>
      <c r="I44" s="54">
        <f>Assumptions!G169</f>
        <v>0</v>
      </c>
      <c r="J44" s="54">
        <f>Assumptions!H169</f>
        <v>0</v>
      </c>
      <c r="K44" s="835"/>
    </row>
    <row r="45" spans="1:11">
      <c r="A45" s="5"/>
      <c r="B45" s="221" t="s">
        <v>741</v>
      </c>
      <c r="C45" s="629">
        <f>'Historical Financials'!C68</f>
        <v>-1221</v>
      </c>
      <c r="D45" s="629">
        <f>'Historical Financials'!D68</f>
        <v>-1015</v>
      </c>
      <c r="E45" s="629">
        <f>'Historical Financials'!E68</f>
        <v>291</v>
      </c>
      <c r="F45" s="629">
        <f>'Historical Financials'!F68</f>
        <v>697</v>
      </c>
      <c r="G45" s="629">
        <f>G38-G42-G43+G14+G44</f>
        <v>1960.8514759999994</v>
      </c>
      <c r="H45" s="629">
        <f t="shared" ref="H45:J45" si="10">H38-H42-H43+H14+H44</f>
        <v>2956.0490556</v>
      </c>
      <c r="I45" s="629">
        <f t="shared" si="10"/>
        <v>5357.8646311192006</v>
      </c>
      <c r="J45" s="629">
        <f t="shared" si="10"/>
        <v>7990.7513410675037</v>
      </c>
      <c r="K45" s="835"/>
    </row>
    <row r="46" spans="1:11">
      <c r="A46" s="5"/>
      <c r="B46" s="627" t="s">
        <v>185</v>
      </c>
      <c r="C46" s="55">
        <f>C45/C7</f>
        <v>-0.29119961841163844</v>
      </c>
      <c r="D46" s="55">
        <f>D45/D7</f>
        <v>-0.14338183359231529</v>
      </c>
      <c r="E46" s="55">
        <f>E45/E7</f>
        <v>2.4021792966815256E-2</v>
      </c>
      <c r="F46" s="55">
        <f>F45/F7</f>
        <v>3.4431655387047372E-2</v>
      </c>
      <c r="G46" s="55">
        <f>G45/G7</f>
        <v>6.8462086014396392E-2</v>
      </c>
      <c r="H46" s="55">
        <f>H45/H7</f>
        <v>7.3676012780534331E-2</v>
      </c>
      <c r="I46" s="55">
        <f>I45/I7</f>
        <v>0.100913322896451</v>
      </c>
      <c r="J46" s="55">
        <f>J45/J7</f>
        <v>0.12263316444639437</v>
      </c>
      <c r="K46" s="833"/>
    </row>
    <row r="47" spans="1:11">
      <c r="A47" s="5"/>
      <c r="B47" s="53"/>
      <c r="K47" s="833"/>
    </row>
    <row r="48" spans="1:11">
      <c r="A48" s="5"/>
      <c r="B48" s="484" t="s">
        <v>186</v>
      </c>
      <c r="K48" s="833"/>
    </row>
    <row r="49" spans="1:11">
      <c r="A49" s="5"/>
      <c r="B49" s="627" t="s">
        <v>187</v>
      </c>
      <c r="C49" s="217">
        <f>'Historical Financials'!C72</f>
        <v>0</v>
      </c>
      <c r="D49" s="217">
        <f>'Historical Financials'!D72</f>
        <v>0</v>
      </c>
      <c r="E49" s="217">
        <f>'Historical Financials'!E72</f>
        <v>200</v>
      </c>
      <c r="F49" s="217">
        <f>'Historical Financials'!F72</f>
        <v>267</v>
      </c>
      <c r="G49" s="59">
        <f>ROUND(MAX(0,G45)*Assumptions!E123,0)</f>
        <v>431</v>
      </c>
      <c r="H49" s="59">
        <f>ROUND(MAX(0,H45)*Assumptions!F123,0)</f>
        <v>650</v>
      </c>
      <c r="I49" s="59">
        <f>ROUND(MAX(0,I45)*Assumptions!G123,0)</f>
        <v>1339</v>
      </c>
      <c r="J49" s="59">
        <f>ROUND(MAX(0,J45)*Assumptions!H123,0)</f>
        <v>1998</v>
      </c>
      <c r="K49" s="833"/>
    </row>
    <row r="50" spans="1:11">
      <c r="A50" s="5"/>
      <c r="B50" s="627" t="s">
        <v>742</v>
      </c>
      <c r="C50" s="217">
        <f>'Historical Financials'!C73</f>
        <v>-4</v>
      </c>
      <c r="D50" s="217">
        <f>'Historical Financials'!D73</f>
        <v>-44</v>
      </c>
      <c r="E50" s="217">
        <f>'Historical Financials'!E73</f>
        <v>-60</v>
      </c>
      <c r="F50" s="217">
        <f>'Historical Financials'!F73</f>
        <v>-97</v>
      </c>
      <c r="G50" s="54">
        <f>Assumptions!E170</f>
        <v>-64</v>
      </c>
      <c r="H50" s="54">
        <f>Assumptions!F170</f>
        <v>-51</v>
      </c>
      <c r="I50" s="54">
        <f>Assumptions!G170</f>
        <v>-46</v>
      </c>
      <c r="J50" s="54">
        <f>Assumptions!H170</f>
        <v>-46</v>
      </c>
      <c r="K50" s="833"/>
    </row>
    <row r="51" spans="1:11">
      <c r="A51" s="5"/>
      <c r="B51" s="627" t="s">
        <v>743</v>
      </c>
      <c r="C51" s="217" t="s">
        <v>57</v>
      </c>
      <c r="D51" s="217" t="s">
        <v>57</v>
      </c>
      <c r="E51" s="217">
        <f t="shared" ref="E51:J51" si="11">E49+E50</f>
        <v>140</v>
      </c>
      <c r="F51" s="217">
        <f t="shared" si="11"/>
        <v>170</v>
      </c>
      <c r="G51" s="217">
        <f t="shared" si="11"/>
        <v>367</v>
      </c>
      <c r="H51" s="217">
        <f t="shared" si="11"/>
        <v>599</v>
      </c>
      <c r="I51" s="217">
        <f t="shared" si="11"/>
        <v>1293</v>
      </c>
      <c r="J51" s="217">
        <f t="shared" si="11"/>
        <v>1952</v>
      </c>
      <c r="K51" s="833"/>
    </row>
    <row r="52" spans="1:11">
      <c r="A52" s="5"/>
      <c r="B52" s="53"/>
      <c r="K52" s="833"/>
    </row>
    <row r="53" spans="1:11">
      <c r="A53" s="5"/>
      <c r="B53" s="225" t="s">
        <v>744</v>
      </c>
      <c r="C53" s="226">
        <f>'Historical Financials'!C76</f>
        <v>-1223</v>
      </c>
      <c r="D53" s="226">
        <f>'Historical Financials'!D76</f>
        <v>-971</v>
      </c>
      <c r="E53" s="226">
        <f>'Historical Financials'!E76</f>
        <v>351</v>
      </c>
      <c r="F53" s="226">
        <f>'Historical Financials'!F76</f>
        <v>527</v>
      </c>
      <c r="G53" s="227">
        <f>G45-G51</f>
        <v>1593.8514759999994</v>
      </c>
      <c r="H53" s="227">
        <f t="shared" ref="H53:J53" si="12">H45-H51</f>
        <v>2357.0490556</v>
      </c>
      <c r="I53" s="227">
        <f t="shared" si="12"/>
        <v>4064.8646311192006</v>
      </c>
      <c r="J53" s="227">
        <f t="shared" si="12"/>
        <v>6038.7513410675037</v>
      </c>
      <c r="K53" s="833"/>
    </row>
    <row r="54" spans="1:11">
      <c r="A54" s="5"/>
      <c r="B54" s="627" t="s">
        <v>63</v>
      </c>
      <c r="C54" s="55">
        <f>C53/C7</f>
        <v>-0.29167660386358218</v>
      </c>
      <c r="D54" s="55">
        <f>D53/D7</f>
        <v>-0.13716626642181098</v>
      </c>
      <c r="E54" s="55">
        <f>E53/E7</f>
        <v>2.8974739970282319E-2</v>
      </c>
      <c r="F54" s="55">
        <f>F53/F7</f>
        <v>2.6033690658499236E-2</v>
      </c>
      <c r="G54" s="55">
        <f>G53/G7</f>
        <v>5.5648476276580892E-2</v>
      </c>
      <c r="H54" s="55">
        <f>H53/H7</f>
        <v>5.874664901644671E-2</v>
      </c>
      <c r="I54" s="55">
        <f>I53/I7</f>
        <v>7.6560164411023743E-2</v>
      </c>
      <c r="J54" s="55">
        <f>J53/J7</f>
        <v>9.2676039417475306E-2</v>
      </c>
      <c r="K54" s="833"/>
    </row>
    <row r="55" spans="1:11">
      <c r="A55" s="5"/>
      <c r="B55" s="627" t="s">
        <v>316</v>
      </c>
      <c r="C55" s="801">
        <f>'Historical Financials'!C79</f>
        <v>-1.6007853403141361</v>
      </c>
      <c r="D55" s="801">
        <f>'Historical Financials'!D79</f>
        <v>-1.1614832535885167</v>
      </c>
      <c r="E55" s="801">
        <f>'Historical Financials'!E79</f>
        <v>0.40437788018433179</v>
      </c>
      <c r="F55" s="801">
        <f>'Historical Financials'!F79</f>
        <v>0.58103638368246968</v>
      </c>
      <c r="G55" s="801">
        <f>G53/Assumptions!E158</f>
        <v>1.6955866765957439</v>
      </c>
      <c r="H55" s="801">
        <f>H53/Assumptions!F158</f>
        <v>2.4552594329166668</v>
      </c>
      <c r="I55" s="801">
        <f>I53/Assumptions!G158</f>
        <v>4.1690919293530264</v>
      </c>
      <c r="J55" s="801">
        <f>J53/Assumptions!H158</f>
        <v>6.1307120213883284</v>
      </c>
      <c r="K55" s="833"/>
    </row>
    <row r="56" spans="1:11">
      <c r="A56" s="5"/>
      <c r="B56" s="228" t="s">
        <v>745</v>
      </c>
      <c r="C56" s="229">
        <v>0</v>
      </c>
      <c r="D56" s="229">
        <v>0</v>
      </c>
      <c r="E56" s="229">
        <v>0</v>
      </c>
      <c r="F56" s="229">
        <v>0</v>
      </c>
      <c r="K56" s="833"/>
    </row>
    <row r="57" spans="1:11">
      <c r="A57" s="5"/>
      <c r="B57" s="53"/>
      <c r="K57" s="833"/>
    </row>
    <row r="58" spans="1:11">
      <c r="A58" s="5"/>
      <c r="B58" s="53"/>
      <c r="C58" s="230"/>
      <c r="D58" s="230"/>
      <c r="E58" s="230"/>
      <c r="K58" s="833"/>
    </row>
    <row r="59" spans="1:11">
      <c r="A59" s="5"/>
      <c r="B59" s="727" t="s">
        <v>746</v>
      </c>
      <c r="C59" s="727"/>
      <c r="D59" s="727"/>
      <c r="E59" s="727"/>
      <c r="F59" s="727"/>
      <c r="G59" s="727"/>
      <c r="H59" s="727"/>
      <c r="I59" s="727"/>
      <c r="J59" s="727"/>
      <c r="K59" s="833"/>
    </row>
    <row r="60" spans="1:11">
      <c r="A60" s="5"/>
      <c r="B60" s="596" t="s">
        <v>747</v>
      </c>
      <c r="C60" s="71"/>
      <c r="D60" s="71"/>
      <c r="E60" s="71"/>
      <c r="F60" s="71"/>
      <c r="G60" s="71"/>
      <c r="H60" s="71"/>
      <c r="I60" s="71"/>
      <c r="J60" s="71"/>
      <c r="K60" s="833"/>
    </row>
    <row r="61" spans="1:11">
      <c r="A61" s="5"/>
      <c r="B61" s="627" t="s">
        <v>195</v>
      </c>
      <c r="C61" s="54">
        <f>'Historical Financials'!C85</f>
        <v>51</v>
      </c>
      <c r="D61" s="54">
        <f>'Historical Financials'!D85</f>
        <v>209</v>
      </c>
      <c r="E61" s="54">
        <f>'Historical Financials'!E85</f>
        <v>287</v>
      </c>
      <c r="F61" s="54">
        <f>'Historical Financials'!F85</f>
        <v>965</v>
      </c>
      <c r="G61" s="231">
        <f>F61+Assumptions!E137-Assumptions!E127-5</f>
        <v>1680</v>
      </c>
      <c r="H61" s="231">
        <f>G61+Assumptions!F137-Assumptions!F127-5</f>
        <v>2645</v>
      </c>
      <c r="I61" s="231">
        <f>H61+Assumptions!G137-Assumptions!G127-5</f>
        <v>3380</v>
      </c>
      <c r="J61" s="231">
        <f>I61+Assumptions!H137-Assumptions!H127-5</f>
        <v>3755</v>
      </c>
      <c r="K61" s="833"/>
    </row>
    <row r="62" spans="1:11">
      <c r="A62" s="5"/>
      <c r="B62" s="627" t="s">
        <v>196</v>
      </c>
      <c r="C62" s="54">
        <f>'Historical Financials'!C86</f>
        <v>18</v>
      </c>
      <c r="D62" s="54">
        <f>'Historical Financials'!D86</f>
        <v>18</v>
      </c>
      <c r="E62" s="54">
        <f>'Historical Financials'!E86</f>
        <v>51</v>
      </c>
      <c r="F62" s="54">
        <f>'Historical Financials'!F86</f>
        <v>0</v>
      </c>
      <c r="G62" s="54">
        <f>Assumptions!E175</f>
        <v>60</v>
      </c>
      <c r="H62" s="54">
        <f>Assumptions!F175</f>
        <v>70</v>
      </c>
      <c r="I62" s="54">
        <f>Assumptions!G175</f>
        <v>65</v>
      </c>
      <c r="J62" s="54">
        <f>Assumptions!H175</f>
        <v>50</v>
      </c>
      <c r="K62" s="833"/>
    </row>
    <row r="63" spans="1:11">
      <c r="A63" s="5"/>
      <c r="B63" s="627" t="s">
        <v>748</v>
      </c>
      <c r="C63" s="54">
        <f>'Historical Financials'!C87</f>
        <v>64</v>
      </c>
      <c r="D63" s="54">
        <f>'Historical Financials'!D87</f>
        <v>427</v>
      </c>
      <c r="E63" s="54">
        <f>'Historical Financials'!E87</f>
        <v>690</v>
      </c>
      <c r="F63" s="54">
        <f>'Historical Financials'!F87</f>
        <v>1918</v>
      </c>
      <c r="G63" s="54">
        <f>Assumptions!E139</f>
        <v>2900</v>
      </c>
      <c r="H63" s="54">
        <f>Assumptions!F139</f>
        <v>4000</v>
      </c>
      <c r="I63" s="54">
        <f>Assumptions!G139</f>
        <v>4800</v>
      </c>
      <c r="J63" s="54">
        <f>Assumptions!H139</f>
        <v>5200</v>
      </c>
      <c r="K63" s="833"/>
    </row>
    <row r="64" spans="1:11">
      <c r="A64" s="5"/>
      <c r="B64" s="627" t="s">
        <v>198</v>
      </c>
      <c r="C64" s="54">
        <f>'Historical Financials'!C88</f>
        <v>1209</v>
      </c>
      <c r="D64" s="54">
        <f>'Historical Financials'!D88</f>
        <v>4717</v>
      </c>
      <c r="E64" s="54">
        <f>'Historical Financials'!E88</f>
        <v>4717</v>
      </c>
      <c r="F64" s="54">
        <f>'Historical Financials'!F88</f>
        <v>5737</v>
      </c>
      <c r="G64" s="69">
        <f>F64</f>
        <v>5737</v>
      </c>
      <c r="H64" s="69">
        <f t="shared" ref="H64:J64" si="13">G64</f>
        <v>5737</v>
      </c>
      <c r="I64" s="69">
        <f t="shared" si="13"/>
        <v>5737</v>
      </c>
      <c r="J64" s="69">
        <f t="shared" si="13"/>
        <v>5737</v>
      </c>
      <c r="K64" s="833"/>
    </row>
    <row r="65" spans="1:11">
      <c r="A65" s="5"/>
      <c r="B65" s="627" t="s">
        <v>199</v>
      </c>
      <c r="C65" s="54">
        <f>'Historical Financials'!C89</f>
        <v>63</v>
      </c>
      <c r="D65" s="54">
        <f>'Historical Financials'!D89</f>
        <v>991</v>
      </c>
      <c r="E65" s="54">
        <f>'Historical Financials'!E89</f>
        <v>754</v>
      </c>
      <c r="F65" s="54">
        <f>'Historical Financials'!F89</f>
        <v>912</v>
      </c>
      <c r="G65" s="54">
        <f>F65-Assumptions!E128</f>
        <v>662</v>
      </c>
      <c r="H65" s="54">
        <f>G65-Assumptions!F128</f>
        <v>462</v>
      </c>
      <c r="I65" s="54">
        <f>H65-Assumptions!G128</f>
        <v>302</v>
      </c>
      <c r="J65" s="54">
        <f>I65-Assumptions!H128</f>
        <v>172</v>
      </c>
      <c r="K65" s="833"/>
    </row>
    <row r="66" spans="1:11">
      <c r="A66" s="5"/>
      <c r="B66" s="627" t="s">
        <v>749</v>
      </c>
      <c r="C66" s="54">
        <f>'Historical Financials'!C90</f>
        <v>3086</v>
      </c>
      <c r="D66" s="54">
        <f>'Historical Financials'!D90</f>
        <v>2280</v>
      </c>
      <c r="E66" s="54">
        <f>'Historical Financials'!E90</f>
        <v>10365</v>
      </c>
      <c r="F66" s="54">
        <f>'Historical Financials'!F90</f>
        <v>10920</v>
      </c>
      <c r="G66" s="54">
        <f>G107-(G61+G62+G63+G64+G65+G67+G68+G69)-G81</f>
        <v>11413.999999999996</v>
      </c>
      <c r="H66" s="54">
        <f>H107-(H61+H62+H63+H64+H65+H67+H68+H69)-H81</f>
        <v>12034.999999999996</v>
      </c>
      <c r="I66" s="54">
        <f>I107-(I61+I62+I63+I64+I65+I67+I68+I69)-I81</f>
        <v>13360.999999999993</v>
      </c>
      <c r="J66" s="54">
        <f>J107-(J61+J62+J63+J64+J65+J67+J68+J69)-J81</f>
        <v>15113.999999999993</v>
      </c>
      <c r="K66" s="833"/>
    </row>
    <row r="67" spans="1:11">
      <c r="A67" s="5"/>
      <c r="B67" s="627" t="s">
        <v>201</v>
      </c>
      <c r="C67" s="54">
        <f>'Historical Financials'!C91</f>
        <v>5219</v>
      </c>
      <c r="D67" s="54">
        <f>'Historical Financials'!D91</f>
        <v>1894</v>
      </c>
      <c r="E67" s="54">
        <f>'Historical Financials'!E91</f>
        <v>747</v>
      </c>
      <c r="F67" s="54">
        <f>'Historical Financials'!F91</f>
        <v>2744</v>
      </c>
      <c r="G67" s="54">
        <f>Assumptions!E176</f>
        <v>3200</v>
      </c>
      <c r="H67" s="54">
        <f>Assumptions!F176</f>
        <v>3900</v>
      </c>
      <c r="I67" s="54">
        <f>Assumptions!G176</f>
        <v>4500</v>
      </c>
      <c r="J67" s="54">
        <f>Assumptions!H176</f>
        <v>5000</v>
      </c>
      <c r="K67" s="833"/>
    </row>
    <row r="68" spans="1:11">
      <c r="A68" s="5"/>
      <c r="B68" s="627" t="s">
        <v>202</v>
      </c>
      <c r="C68" s="54">
        <f>'Historical Financials'!C92</f>
        <v>67</v>
      </c>
      <c r="D68" s="54">
        <f>'Historical Financials'!D92</f>
        <v>116</v>
      </c>
      <c r="E68" s="54">
        <f>'Historical Financials'!E92</f>
        <v>221</v>
      </c>
      <c r="F68" s="54">
        <f>'Historical Financials'!F92</f>
        <v>129</v>
      </c>
      <c r="G68" s="54">
        <f>Assumptions!E177</f>
        <v>193</v>
      </c>
      <c r="H68" s="54">
        <f>Assumptions!F177</f>
        <v>244</v>
      </c>
      <c r="I68" s="54">
        <f>Assumptions!G177</f>
        <v>290</v>
      </c>
      <c r="J68" s="54">
        <f>Assumptions!H177</f>
        <v>336</v>
      </c>
      <c r="K68" s="833"/>
    </row>
    <row r="69" spans="1:11">
      <c r="B69" s="627" t="s">
        <v>203</v>
      </c>
      <c r="C69" s="54">
        <f>'Historical Financials'!C93</f>
        <v>5</v>
      </c>
      <c r="D69" s="54">
        <f>'Historical Financials'!D93</f>
        <v>118</v>
      </c>
      <c r="E69" s="54">
        <f>'Historical Financials'!E93</f>
        <v>66</v>
      </c>
      <c r="F69" s="54">
        <f>'Historical Financials'!F93</f>
        <v>597</v>
      </c>
      <c r="G69" s="54">
        <f>Assumptions!E185</f>
        <v>140</v>
      </c>
      <c r="H69" s="54">
        <f>Assumptions!F185</f>
        <v>165</v>
      </c>
      <c r="I69" s="54">
        <f>Assumptions!G185</f>
        <v>185</v>
      </c>
      <c r="J69" s="54">
        <f>Assumptions!H185</f>
        <v>205</v>
      </c>
      <c r="K69" s="833"/>
    </row>
    <row r="70" spans="1:11">
      <c r="B70" s="602" t="s">
        <v>750</v>
      </c>
      <c r="C70" s="603">
        <f>'Historical Financials'!C94</f>
        <v>9782</v>
      </c>
      <c r="D70" s="603">
        <f>'Historical Financials'!D94</f>
        <v>10770</v>
      </c>
      <c r="E70" s="603">
        <f>'Historical Financials'!E94</f>
        <v>17898</v>
      </c>
      <c r="F70" s="603">
        <f>'Historical Financials'!F94</f>
        <v>23922</v>
      </c>
      <c r="G70" s="604">
        <f>SUM(G61:G69)</f>
        <v>25985.999999999996</v>
      </c>
      <c r="H70" s="604">
        <f t="shared" ref="H70:J70" si="14">SUM(H61:H69)</f>
        <v>29257.999999999996</v>
      </c>
      <c r="I70" s="604">
        <f t="shared" si="14"/>
        <v>32619.999999999993</v>
      </c>
      <c r="J70" s="604">
        <f t="shared" si="14"/>
        <v>35568.999999999993</v>
      </c>
      <c r="K70" s="833"/>
    </row>
    <row r="71" spans="1:11">
      <c r="B71" s="53"/>
      <c r="C71" s="69"/>
      <c r="D71" s="69"/>
      <c r="E71" s="69"/>
      <c r="F71" s="69"/>
      <c r="G71" s="69"/>
      <c r="H71" s="69"/>
      <c r="I71" s="69"/>
      <c r="J71" s="69"/>
      <c r="K71" s="833"/>
    </row>
    <row r="72" spans="1:11">
      <c r="B72" s="596" t="s">
        <v>751</v>
      </c>
      <c r="C72" s="69"/>
      <c r="D72" s="69"/>
      <c r="E72" s="69"/>
      <c r="F72" s="69"/>
      <c r="G72" s="69"/>
      <c r="H72" s="69"/>
      <c r="I72" s="69"/>
      <c r="J72" s="69"/>
      <c r="K72" s="833"/>
    </row>
    <row r="73" spans="1:11">
      <c r="B73" s="627" t="s">
        <v>205</v>
      </c>
      <c r="C73" s="54">
        <f>'Historical Financials'!C97</f>
        <v>40</v>
      </c>
      <c r="D73" s="54">
        <f>'Historical Financials'!D97</f>
        <v>83</v>
      </c>
      <c r="E73" s="54">
        <f>'Historical Financials'!E97</f>
        <v>88</v>
      </c>
      <c r="F73" s="54">
        <f>'Historical Financials'!F97</f>
        <v>176</v>
      </c>
      <c r="G73" s="54">
        <f>ROUND(G18*Assumptions!E134/365,0)</f>
        <v>290</v>
      </c>
      <c r="H73" s="54">
        <f>ROUND(H18*Assumptions!F134/365,0)</f>
        <v>431</v>
      </c>
      <c r="I73" s="54">
        <f>ROUND(I18*Assumptions!G134/365,0)</f>
        <v>540</v>
      </c>
      <c r="J73" s="54">
        <f>ROUND(J18*Assumptions!H134/365,0)</f>
        <v>607</v>
      </c>
      <c r="K73" s="833"/>
    </row>
    <row r="74" spans="1:11">
      <c r="B74" s="627" t="s">
        <v>752</v>
      </c>
      <c r="C74" s="54">
        <f>'Historical Financials'!C98</f>
        <v>1632</v>
      </c>
      <c r="D74" s="54">
        <f>'Historical Financials'!D98</f>
        <v>4485</v>
      </c>
      <c r="E74" s="54">
        <f>'Historical Financials'!E98</f>
        <v>1280</v>
      </c>
      <c r="F74" s="54">
        <f>'Historical Financials'!F98</f>
        <v>2272</v>
      </c>
      <c r="G74" s="54">
        <f>Assumptions!E179</f>
        <v>2100</v>
      </c>
      <c r="H74" s="54">
        <f>Assumptions!F179</f>
        <v>1800</v>
      </c>
      <c r="I74" s="54">
        <f>Assumptions!G179</f>
        <v>1600</v>
      </c>
      <c r="J74" s="54">
        <f>Assumptions!H179</f>
        <v>1500</v>
      </c>
      <c r="K74" s="833"/>
    </row>
    <row r="75" spans="1:11">
      <c r="B75" s="627" t="s">
        <v>207</v>
      </c>
      <c r="C75" s="54">
        <f>'Historical Financials'!C99</f>
        <v>16</v>
      </c>
      <c r="D75" s="54">
        <f>'Historical Financials'!D99</f>
        <v>45</v>
      </c>
      <c r="E75" s="54">
        <f>'Historical Financials'!E99</f>
        <v>779</v>
      </c>
      <c r="F75" s="54">
        <f>'Historical Financials'!F99</f>
        <v>1946</v>
      </c>
      <c r="G75" s="54">
        <f>ROUND(G7*Assumptions!E135/365,0)</f>
        <v>2982</v>
      </c>
      <c r="H75" s="54">
        <f>ROUND(H7*Assumptions!F135/365,0)</f>
        <v>4177</v>
      </c>
      <c r="I75" s="54">
        <f>ROUND(I7*Assumptions!G135/365,0)</f>
        <v>5237</v>
      </c>
      <c r="J75" s="54">
        <f>ROUND(J7*Assumptions!H135/365,0)</f>
        <v>6248</v>
      </c>
      <c r="K75" s="833"/>
    </row>
    <row r="76" spans="1:11">
      <c r="B76" s="627" t="s">
        <v>753</v>
      </c>
      <c r="C76" s="54">
        <f>'Historical Financials'!C100</f>
        <v>392</v>
      </c>
      <c r="D76" s="54">
        <f>'Historical Financials'!D100</f>
        <v>218</v>
      </c>
      <c r="E76" s="54">
        <f>'Historical Financials'!E100</f>
        <v>309</v>
      </c>
      <c r="F76" s="54">
        <f>'Historical Financials'!F100</f>
        <v>666</v>
      </c>
      <c r="G76" s="54">
        <f>G180</f>
        <v>28.851475999999366</v>
      </c>
      <c r="H76" s="54">
        <f t="shared" ref="H76:J76" si="15">H180</f>
        <v>371.90053159999979</v>
      </c>
      <c r="I76" s="54">
        <f t="shared" si="15"/>
        <v>1820.7651627192004</v>
      </c>
      <c r="J76" s="54">
        <f t="shared" si="15"/>
        <v>5090.5165037867046</v>
      </c>
      <c r="K76" s="833"/>
    </row>
    <row r="77" spans="1:11">
      <c r="B77" s="627" t="s">
        <v>754</v>
      </c>
      <c r="C77" s="54">
        <f>'Historical Financials'!C101</f>
        <v>1183</v>
      </c>
      <c r="D77" s="54">
        <f>'Historical Financials'!D101</f>
        <v>799</v>
      </c>
      <c r="E77" s="54">
        <f>'Historical Financials'!E101</f>
        <v>422</v>
      </c>
      <c r="F77" s="54">
        <f>'Historical Financials'!F101</f>
        <v>2948</v>
      </c>
      <c r="G77" s="54">
        <f>Assumptions!E180</f>
        <v>3000</v>
      </c>
      <c r="H77" s="54">
        <f>Assumptions!F180</f>
        <v>2500</v>
      </c>
      <c r="I77" s="54">
        <f>Assumptions!G180</f>
        <v>2200</v>
      </c>
      <c r="J77" s="54">
        <f>Assumptions!H180</f>
        <v>2000</v>
      </c>
      <c r="K77" s="833"/>
    </row>
    <row r="78" spans="1:11">
      <c r="B78" s="627" t="s">
        <v>210</v>
      </c>
      <c r="C78" s="54">
        <f>'Historical Financials'!C102</f>
        <v>375</v>
      </c>
      <c r="D78" s="54">
        <f>'Historical Financials'!D102</f>
        <v>0</v>
      </c>
      <c r="E78" s="54">
        <f>'Historical Financials'!E102</f>
        <v>0</v>
      </c>
      <c r="F78" s="54">
        <f>'Historical Financials'!F102</f>
        <v>0</v>
      </c>
      <c r="G78" s="54">
        <v>0</v>
      </c>
      <c r="H78" s="54">
        <v>0</v>
      </c>
      <c r="I78" s="54">
        <v>0</v>
      </c>
      <c r="J78" s="54">
        <v>0</v>
      </c>
      <c r="K78" s="833"/>
    </row>
    <row r="79" spans="1:11">
      <c r="B79" s="627" t="s">
        <v>211</v>
      </c>
      <c r="C79" s="54">
        <f>'Historical Financials'!C103</f>
        <v>3667</v>
      </c>
      <c r="D79" s="54">
        <f>'Historical Financials'!D103</f>
        <v>4830</v>
      </c>
      <c r="E79" s="54">
        <f>'Historical Financials'!E103</f>
        <v>2324</v>
      </c>
      <c r="F79" s="54">
        <f>'Historical Financials'!F103</f>
        <v>2769</v>
      </c>
      <c r="G79" s="54">
        <f>Assumptions!E181</f>
        <v>3200</v>
      </c>
      <c r="H79" s="54">
        <f>Assumptions!F181</f>
        <v>4000</v>
      </c>
      <c r="I79" s="54">
        <f>Assumptions!G181</f>
        <v>4800</v>
      </c>
      <c r="J79" s="54">
        <f>Assumptions!H181</f>
        <v>5500</v>
      </c>
      <c r="K79" s="833"/>
    </row>
    <row r="80" spans="1:11">
      <c r="B80" s="627" t="s">
        <v>212</v>
      </c>
      <c r="C80" s="54">
        <v>96</v>
      </c>
      <c r="D80" s="54">
        <v>372</v>
      </c>
      <c r="E80" s="54">
        <v>241</v>
      </c>
      <c r="F80" s="54">
        <v>924</v>
      </c>
      <c r="G80" s="54">
        <f>Assumptions!E182</f>
        <v>1100</v>
      </c>
      <c r="H80" s="54">
        <f>Assumptions!F182</f>
        <v>1400</v>
      </c>
      <c r="I80" s="54">
        <f>Assumptions!G182</f>
        <v>1700</v>
      </c>
      <c r="J80" s="54">
        <f>Assumptions!H182</f>
        <v>2000</v>
      </c>
      <c r="K80" s="833"/>
    </row>
    <row r="81" spans="2:11">
      <c r="B81" s="602" t="s">
        <v>755</v>
      </c>
      <c r="C81" s="604">
        <f>'Historical Financials'!C105</f>
        <v>7545</v>
      </c>
      <c r="D81" s="604">
        <f>'Historical Financials'!D105</f>
        <v>10832</v>
      </c>
      <c r="E81" s="604">
        <f>'Historical Financials'!E105</f>
        <v>5458</v>
      </c>
      <c r="F81" s="604">
        <f>'Historical Financials'!F105</f>
        <v>11701</v>
      </c>
      <c r="G81" s="604">
        <f>SUM(G73:G80)</f>
        <v>12700.851476</v>
      </c>
      <c r="H81" s="604">
        <f t="shared" ref="H81:J81" si="16">SUM(H73:H80)</f>
        <v>14679.9005316</v>
      </c>
      <c r="I81" s="604">
        <f t="shared" si="16"/>
        <v>17897.765162719203</v>
      </c>
      <c r="J81" s="604">
        <f t="shared" si="16"/>
        <v>22945.516503786705</v>
      </c>
      <c r="K81" s="833"/>
    </row>
    <row r="82" spans="2:11">
      <c r="B82" s="221"/>
      <c r="C82" s="597"/>
      <c r="D82" s="597"/>
      <c r="E82" s="597"/>
      <c r="F82" s="597"/>
      <c r="G82" s="597"/>
      <c r="H82" s="597"/>
      <c r="I82" s="597"/>
      <c r="J82" s="597"/>
      <c r="K82" s="833"/>
    </row>
    <row r="83" spans="2:11">
      <c r="B83" s="598" t="s">
        <v>213</v>
      </c>
      <c r="C83" s="599">
        <f>'Historical Financials'!C107</f>
        <v>17327</v>
      </c>
      <c r="D83" s="599">
        <f>'Historical Financials'!D107</f>
        <v>21602</v>
      </c>
      <c r="E83" s="599">
        <f>'Historical Financials'!E107</f>
        <v>23356</v>
      </c>
      <c r="F83" s="599">
        <f>'Historical Financials'!F107</f>
        <v>35623</v>
      </c>
      <c r="G83" s="600">
        <f>G70+G81</f>
        <v>38686.851475999996</v>
      </c>
      <c r="H83" s="601">
        <f t="shared" ref="H83:J83" si="17">H70+H81</f>
        <v>43937.900531599997</v>
      </c>
      <c r="I83" s="601">
        <f t="shared" si="17"/>
        <v>50517.765162719195</v>
      </c>
      <c r="J83" s="601">
        <f t="shared" si="17"/>
        <v>58514.516503786697</v>
      </c>
      <c r="K83" s="833"/>
    </row>
    <row r="84" spans="2:11">
      <c r="B84" s="53"/>
      <c r="C84" s="69"/>
      <c r="D84" s="69"/>
      <c r="E84" s="69"/>
      <c r="F84" s="69"/>
      <c r="G84" s="69"/>
      <c r="H84" s="69"/>
      <c r="I84" s="69"/>
      <c r="J84" s="69"/>
      <c r="K84" s="833"/>
    </row>
    <row r="85" spans="2:11">
      <c r="B85" s="596" t="s">
        <v>756</v>
      </c>
      <c r="C85" s="69"/>
      <c r="D85" s="69"/>
      <c r="E85" s="69"/>
      <c r="F85" s="69"/>
      <c r="G85" s="69"/>
      <c r="H85" s="69"/>
      <c r="I85" s="69"/>
      <c r="J85" s="69"/>
      <c r="K85" s="833"/>
    </row>
    <row r="86" spans="2:11">
      <c r="B86" s="627" t="s">
        <v>215</v>
      </c>
      <c r="C86" s="54">
        <f>'Historical Financials'!C110</f>
        <v>764</v>
      </c>
      <c r="D86" s="54">
        <f>'Historical Financials'!D110</f>
        <v>836</v>
      </c>
      <c r="E86" s="54">
        <f>'Historical Financials'!E110</f>
        <v>868</v>
      </c>
      <c r="F86" s="54">
        <f>'Historical Financials'!F110</f>
        <v>907</v>
      </c>
      <c r="G86" s="54">
        <f>Assumptions!E183</f>
        <v>940</v>
      </c>
      <c r="H86" s="54">
        <f>Assumptions!F183</f>
        <v>957</v>
      </c>
      <c r="I86" s="54">
        <f>Assumptions!G183</f>
        <v>967</v>
      </c>
      <c r="J86" s="54">
        <f>Assumptions!H183</f>
        <v>977</v>
      </c>
      <c r="K86" s="833"/>
    </row>
    <row r="87" spans="2:11">
      <c r="B87" s="627" t="s">
        <v>216</v>
      </c>
      <c r="C87" s="54">
        <f>'Historical Financials'!C111</f>
        <v>15742</v>
      </c>
      <c r="D87" s="54">
        <f>'Historical Financials'!D111</f>
        <v>18623</v>
      </c>
      <c r="E87" s="54">
        <f>'Historical Financials'!E111</f>
        <v>19545</v>
      </c>
      <c r="F87" s="54">
        <f>'Historical Financials'!F111</f>
        <v>29410</v>
      </c>
      <c r="G87" s="54">
        <f>F87+G53+G22</f>
        <v>31903.851476</v>
      </c>
      <c r="H87" s="54">
        <f>G87+H53+H22</f>
        <v>35210.900531599997</v>
      </c>
      <c r="I87" s="54">
        <f>H87+I53+I22</f>
        <v>40175.765162719195</v>
      </c>
      <c r="J87" s="54">
        <f>I87+J53+J22</f>
        <v>47064.516503786697</v>
      </c>
      <c r="K87" s="833"/>
    </row>
    <row r="88" spans="2:11">
      <c r="B88" s="627" t="s">
        <v>757</v>
      </c>
      <c r="C88" s="54">
        <f>'Historical Financials'!C112</f>
        <v>-7</v>
      </c>
      <c r="D88" s="54">
        <f>'Historical Financials'!D112</f>
        <v>-7</v>
      </c>
      <c r="E88" s="54">
        <f>'Historical Financials'!E112</f>
        <v>-7</v>
      </c>
      <c r="F88" s="54">
        <f>'Historical Financials'!F112</f>
        <v>-7</v>
      </c>
      <c r="G88" s="69">
        <f>F88</f>
        <v>-7</v>
      </c>
      <c r="H88" s="69">
        <f t="shared" ref="H88:J88" si="18">G88</f>
        <v>-7</v>
      </c>
      <c r="I88" s="69">
        <f t="shared" si="18"/>
        <v>-7</v>
      </c>
      <c r="J88" s="69">
        <f t="shared" si="18"/>
        <v>-7</v>
      </c>
      <c r="K88" s="833"/>
    </row>
    <row r="89" spans="2:11">
      <c r="B89" s="602" t="s">
        <v>218</v>
      </c>
      <c r="C89" s="604">
        <f>'Historical Financials'!C113</f>
        <v>16499</v>
      </c>
      <c r="D89" s="604">
        <f>'Historical Financials'!D113</f>
        <v>19452</v>
      </c>
      <c r="E89" s="604">
        <f>'Historical Financials'!E113</f>
        <v>20406</v>
      </c>
      <c r="F89" s="604">
        <f>'Historical Financials'!F113</f>
        <v>30310</v>
      </c>
      <c r="G89" s="604">
        <f>SUM(G86:G88)</f>
        <v>32836.851475999996</v>
      </c>
      <c r="H89" s="604">
        <f t="shared" ref="H89:J89" si="19">SUM(H86:H88)</f>
        <v>36160.900531599997</v>
      </c>
      <c r="I89" s="604">
        <f t="shared" si="19"/>
        <v>41135.765162719195</v>
      </c>
      <c r="J89" s="604">
        <f t="shared" si="19"/>
        <v>48034.516503786697</v>
      </c>
      <c r="K89" s="833"/>
    </row>
    <row r="90" spans="2:11">
      <c r="B90" s="53"/>
      <c r="C90" s="69"/>
      <c r="D90" s="69"/>
      <c r="E90" s="69"/>
      <c r="F90" s="69"/>
      <c r="G90" s="69"/>
      <c r="H90" s="69"/>
      <c r="I90" s="69"/>
      <c r="J90" s="69"/>
      <c r="K90" s="833"/>
    </row>
    <row r="91" spans="2:11">
      <c r="B91" s="596" t="s">
        <v>758</v>
      </c>
      <c r="C91" s="69"/>
      <c r="D91" s="69"/>
      <c r="E91" s="69"/>
      <c r="F91" s="69"/>
      <c r="G91" s="69"/>
      <c r="H91" s="69"/>
      <c r="I91" s="69"/>
      <c r="J91" s="69"/>
      <c r="K91" s="833"/>
    </row>
    <row r="92" spans="2:11">
      <c r="B92" s="627" t="s">
        <v>759</v>
      </c>
      <c r="C92" s="54">
        <f>'Historical Financials'!C116</f>
        <v>52</v>
      </c>
      <c r="D92" s="54">
        <f>'Historical Financials'!D116</f>
        <v>351</v>
      </c>
      <c r="E92" s="54">
        <f>'Historical Financials'!E116</f>
        <v>585</v>
      </c>
      <c r="F92" s="54">
        <f>'Historical Financials'!F116</f>
        <v>1654</v>
      </c>
      <c r="G92" s="54">
        <f>ROUND(Assumptions!E140*0.75,0)</f>
        <v>2325</v>
      </c>
      <c r="H92" s="54">
        <f>ROUND(Assumptions!F140*0.75,0)</f>
        <v>3150</v>
      </c>
      <c r="I92" s="54">
        <f>ROUND(Assumptions!G140*0.75,0)</f>
        <v>3675</v>
      </c>
      <c r="J92" s="54">
        <f>ROUND(Assumptions!H140*0.75,0)</f>
        <v>3900</v>
      </c>
      <c r="K92" s="833"/>
    </row>
    <row r="93" spans="2:11">
      <c r="B93" s="627" t="s">
        <v>760</v>
      </c>
      <c r="C93" s="54">
        <f>'Historical Financials'!C117</f>
        <v>0</v>
      </c>
      <c r="D93" s="54">
        <f>'Historical Financials'!D117</f>
        <v>0</v>
      </c>
      <c r="E93" s="54">
        <f>'Historical Financials'!E117</f>
        <v>6</v>
      </c>
      <c r="F93" s="54">
        <f>'Historical Financials'!F117</f>
        <v>0</v>
      </c>
      <c r="G93" s="54">
        <v>0</v>
      </c>
      <c r="H93" s="54">
        <v>0</v>
      </c>
      <c r="I93" s="54">
        <v>0</v>
      </c>
      <c r="J93" s="54">
        <v>0</v>
      </c>
      <c r="K93" s="833"/>
    </row>
    <row r="94" spans="2:11">
      <c r="B94" s="627" t="s">
        <v>222</v>
      </c>
      <c r="C94" s="54">
        <f>'Historical Financials'!C118</f>
        <v>0</v>
      </c>
      <c r="D94" s="54">
        <f>'Historical Financials'!D118</f>
        <v>250</v>
      </c>
      <c r="E94" s="54">
        <f>'Historical Financials'!E118</f>
        <v>188</v>
      </c>
      <c r="F94" s="54">
        <f>'Historical Financials'!F118</f>
        <v>212</v>
      </c>
      <c r="G94" s="54">
        <f>Assumptions!E184</f>
        <v>178</v>
      </c>
      <c r="H94" s="54">
        <f>Assumptions!F184</f>
        <v>148</v>
      </c>
      <c r="I94" s="54">
        <f>Assumptions!G184</f>
        <v>118</v>
      </c>
      <c r="J94" s="54">
        <f>Assumptions!H184</f>
        <v>88</v>
      </c>
      <c r="K94" s="833"/>
    </row>
    <row r="95" spans="2:11">
      <c r="B95" s="627" t="s">
        <v>223</v>
      </c>
      <c r="C95" s="54">
        <f>'Historical Financials'!C119</f>
        <v>65</v>
      </c>
      <c r="D95" s="54">
        <f>'Historical Financials'!D119</f>
        <v>94</v>
      </c>
      <c r="E95" s="54">
        <f>'Historical Financials'!E119</f>
        <v>88</v>
      </c>
      <c r="F95" s="54">
        <f>'Historical Financials'!F119</f>
        <v>120</v>
      </c>
      <c r="G95" s="54">
        <f>Assumptions!E185</f>
        <v>140</v>
      </c>
      <c r="H95" s="54">
        <f>Assumptions!F185</f>
        <v>165</v>
      </c>
      <c r="I95" s="54">
        <f>Assumptions!G185</f>
        <v>185</v>
      </c>
      <c r="J95" s="54">
        <f>Assumptions!H185</f>
        <v>205</v>
      </c>
      <c r="K95" s="833"/>
    </row>
    <row r="96" spans="2:11">
      <c r="B96" s="627" t="s">
        <v>224</v>
      </c>
      <c r="C96" s="54">
        <f>'Historical Financials'!C120</f>
        <v>0</v>
      </c>
      <c r="D96" s="54">
        <f>'Historical Financials'!D120</f>
        <v>10</v>
      </c>
      <c r="E96" s="54" t="str">
        <f>'Historical Financials'!E120</f>
        <v>-</v>
      </c>
      <c r="F96" s="54">
        <f>'Historical Financials'!F120</f>
        <v>1</v>
      </c>
      <c r="G96" s="54">
        <f>Assumptions!E186</f>
        <v>2</v>
      </c>
      <c r="H96" s="54">
        <f>Assumptions!F186</f>
        <v>2</v>
      </c>
      <c r="I96" s="54">
        <f>Assumptions!G186</f>
        <v>2</v>
      </c>
      <c r="J96" s="54">
        <f>Assumptions!H186</f>
        <v>2</v>
      </c>
      <c r="K96" s="833"/>
    </row>
    <row r="97" spans="2:11">
      <c r="B97" s="602" t="s">
        <v>225</v>
      </c>
      <c r="C97" s="604">
        <f>'Historical Financials'!C121</f>
        <v>117</v>
      </c>
      <c r="D97" s="604">
        <f>'Historical Financials'!D121</f>
        <v>705</v>
      </c>
      <c r="E97" s="604">
        <f>'Historical Financials'!E121</f>
        <v>867</v>
      </c>
      <c r="F97" s="604">
        <f>'Historical Financials'!F121</f>
        <v>1987</v>
      </c>
      <c r="G97" s="604">
        <f>SUM(G92:G96)</f>
        <v>2645</v>
      </c>
      <c r="H97" s="604">
        <f t="shared" ref="H97:J97" si="20">SUM(H92:H96)</f>
        <v>3465</v>
      </c>
      <c r="I97" s="604">
        <f t="shared" si="20"/>
        <v>3980</v>
      </c>
      <c r="J97" s="604">
        <f t="shared" si="20"/>
        <v>4195</v>
      </c>
      <c r="K97" s="833"/>
    </row>
    <row r="98" spans="2:11">
      <c r="B98" s="53"/>
      <c r="C98" s="54"/>
      <c r="D98" s="54"/>
      <c r="E98" s="54"/>
      <c r="F98" s="54"/>
      <c r="G98" s="54"/>
      <c r="H98" s="54"/>
      <c r="I98" s="54"/>
      <c r="J98" s="69"/>
      <c r="K98" s="833"/>
    </row>
    <row r="99" spans="2:11">
      <c r="B99" s="596" t="s">
        <v>761</v>
      </c>
      <c r="C99" s="54"/>
      <c r="D99" s="54"/>
      <c r="E99" s="54"/>
      <c r="F99" s="54"/>
      <c r="G99" s="54"/>
      <c r="H99" s="54"/>
      <c r="I99" s="54"/>
      <c r="J99" s="69"/>
      <c r="K99" s="833"/>
    </row>
    <row r="100" spans="2:11">
      <c r="B100" s="627" t="s">
        <v>762</v>
      </c>
      <c r="C100" s="54">
        <f>'Historical Financials'!C124</f>
        <v>19</v>
      </c>
      <c r="D100" s="54">
        <f>'Historical Financials'!D124</f>
        <v>115</v>
      </c>
      <c r="E100" s="54">
        <f>'Historical Financials'!E124</f>
        <v>161</v>
      </c>
      <c r="F100" s="54">
        <v>391</v>
      </c>
      <c r="G100" s="231">
        <f>ROUND(Assumptions!E140*0.25,0)</f>
        <v>775</v>
      </c>
      <c r="H100" s="231">
        <f>ROUND(Assumptions!F140*0.25,0)</f>
        <v>1050</v>
      </c>
      <c r="I100" s="231">
        <f>ROUND(Assumptions!G140*0.25,0)</f>
        <v>1225</v>
      </c>
      <c r="J100" s="231">
        <f>ROUND(Assumptions!H140*0.25,0)</f>
        <v>1300</v>
      </c>
      <c r="K100" s="833"/>
    </row>
    <row r="101" spans="2:11">
      <c r="B101" s="627" t="s">
        <v>763</v>
      </c>
      <c r="C101" s="54">
        <f>'Historical Financials'!C125</f>
        <v>7</v>
      </c>
      <c r="D101" s="54">
        <f>'Historical Financials'!D125</f>
        <v>9</v>
      </c>
      <c r="E101" s="54">
        <f>'Historical Financials'!E125</f>
        <v>15</v>
      </c>
      <c r="F101" s="54">
        <v>75</v>
      </c>
      <c r="G101" s="54">
        <f>Assumptions!E187</f>
        <v>150</v>
      </c>
      <c r="H101" s="54">
        <f>Assumptions!F187</f>
        <v>200</v>
      </c>
      <c r="I101" s="54">
        <f>Assumptions!G187</f>
        <v>250</v>
      </c>
      <c r="J101" s="54">
        <f>Assumptions!H187</f>
        <v>300</v>
      </c>
      <c r="K101" s="833"/>
    </row>
    <row r="102" spans="2:11">
      <c r="B102" s="627" t="s">
        <v>764</v>
      </c>
      <c r="C102" s="54">
        <f>'Historical Financials'!C126</f>
        <v>422</v>
      </c>
      <c r="D102" s="54">
        <f>'Historical Financials'!D126</f>
        <v>671</v>
      </c>
      <c r="E102" s="54">
        <f>'Historical Financials'!E126</f>
        <v>871</v>
      </c>
      <c r="F102" s="54">
        <v>1461</v>
      </c>
      <c r="G102" s="54">
        <f>ROUND(G7*Assumptions!E136/365*0.9,0)</f>
        <v>530</v>
      </c>
      <c r="H102" s="54">
        <f>ROUND(H7*Assumptions!F136/365*0.9,0)</f>
        <v>742</v>
      </c>
      <c r="I102" s="54">
        <f>ROUND(I7*Assumptions!G136/365*0.9,0)</f>
        <v>1047</v>
      </c>
      <c r="J102" s="54">
        <f>ROUND(J7*Assumptions!H136/365*0.9,0)</f>
        <v>1285</v>
      </c>
      <c r="K102" s="833"/>
    </row>
    <row r="103" spans="2:11">
      <c r="B103" s="627" t="s">
        <v>231</v>
      </c>
      <c r="C103" s="54">
        <f>'Historical Financials'!C128</f>
        <v>175</v>
      </c>
      <c r="D103" s="54">
        <f>'Historical Financials'!D128</f>
        <v>223</v>
      </c>
      <c r="E103" s="54">
        <f>'Historical Financials'!E128</f>
        <v>449</v>
      </c>
      <c r="F103" s="54">
        <v>486</v>
      </c>
      <c r="G103" s="54">
        <f>Assumptions!E188</f>
        <v>1200</v>
      </c>
      <c r="H103" s="54">
        <f>Assumptions!F188</f>
        <v>1600</v>
      </c>
      <c r="I103" s="54">
        <f>Assumptions!G188</f>
        <v>2000</v>
      </c>
      <c r="J103" s="54">
        <f>Assumptions!H188</f>
        <v>2400</v>
      </c>
      <c r="K103" s="833"/>
    </row>
    <row r="104" spans="2:11">
      <c r="B104" s="627" t="s">
        <v>232</v>
      </c>
      <c r="C104" s="54">
        <f>'Historical Financials'!C129</f>
        <v>88</v>
      </c>
      <c r="D104" s="54">
        <f>'Historical Financials'!D129</f>
        <v>302</v>
      </c>
      <c r="E104" s="54">
        <f>'Historical Financials'!E129</f>
        <v>392</v>
      </c>
      <c r="F104" s="54">
        <f>'Historical Financials'!F129</f>
        <v>486</v>
      </c>
      <c r="G104" s="54">
        <f>Assumptions!E189</f>
        <v>550</v>
      </c>
      <c r="H104" s="54">
        <f>Assumptions!F189</f>
        <v>720</v>
      </c>
      <c r="I104" s="54">
        <f>Assumptions!G189</f>
        <v>880</v>
      </c>
      <c r="J104" s="54">
        <f>Assumptions!H189</f>
        <v>1000</v>
      </c>
      <c r="K104" s="833"/>
    </row>
    <row r="105" spans="2:11">
      <c r="B105" s="602" t="s">
        <v>233</v>
      </c>
      <c r="C105" s="604">
        <f>'Historical Financials'!C130</f>
        <v>711</v>
      </c>
      <c r="D105" s="604">
        <f>'Historical Financials'!D130</f>
        <v>1445</v>
      </c>
      <c r="E105" s="604">
        <f>'Historical Financials'!E130</f>
        <v>2083</v>
      </c>
      <c r="F105" s="604">
        <f>'Historical Financials'!F130</f>
        <v>3326</v>
      </c>
      <c r="G105" s="604">
        <f>SUM(G100:G104)</f>
        <v>3205</v>
      </c>
      <c r="H105" s="604">
        <f t="shared" ref="H105:J105" si="21">SUM(H100:H104)</f>
        <v>4312</v>
      </c>
      <c r="I105" s="604">
        <f t="shared" si="21"/>
        <v>5402</v>
      </c>
      <c r="J105" s="604">
        <f t="shared" si="21"/>
        <v>6285</v>
      </c>
      <c r="K105" s="833"/>
    </row>
    <row r="106" spans="2:11">
      <c r="B106" s="210" t="s">
        <v>765</v>
      </c>
      <c r="C106" s="236">
        <f>'Historical Financials'!C130+'Historical Financials'!C121</f>
        <v>828</v>
      </c>
      <c r="D106" s="236">
        <f>'Historical Financials'!D130+'Historical Financials'!D121</f>
        <v>2150</v>
      </c>
      <c r="E106" s="236">
        <f>'Historical Financials'!E130+'Historical Financials'!E121</f>
        <v>2950</v>
      </c>
      <c r="F106" s="236">
        <f>'Historical Financials'!F130+'Historical Financials'!F121</f>
        <v>5313</v>
      </c>
      <c r="G106" s="236">
        <f>SUM(G105,G97)</f>
        <v>5850</v>
      </c>
      <c r="H106" s="236">
        <f t="shared" ref="H106:J106" si="22">SUM(H105,H97)</f>
        <v>7777</v>
      </c>
      <c r="I106" s="236">
        <f t="shared" si="22"/>
        <v>9382</v>
      </c>
      <c r="J106" s="236">
        <f t="shared" si="22"/>
        <v>10480</v>
      </c>
      <c r="K106" s="833"/>
    </row>
    <row r="107" spans="2:11">
      <c r="B107" s="628" t="s">
        <v>234</v>
      </c>
      <c r="C107" s="235">
        <f>'Historical Financials'!C132</f>
        <v>17327</v>
      </c>
      <c r="D107" s="235">
        <f>'Historical Financials'!D132</f>
        <v>21602</v>
      </c>
      <c r="E107" s="235">
        <f>'Historical Financials'!E132</f>
        <v>23356</v>
      </c>
      <c r="F107" s="235">
        <f>'Historical Financials'!F132</f>
        <v>35623</v>
      </c>
      <c r="G107" s="235">
        <f>SUM(G106,G89)</f>
        <v>38686.851475999996</v>
      </c>
      <c r="H107" s="235">
        <f t="shared" ref="H107:J107" si="23">SUM(H106,H89)</f>
        <v>43937.900531599997</v>
      </c>
      <c r="I107" s="235">
        <f t="shared" si="23"/>
        <v>50517.765162719195</v>
      </c>
      <c r="J107" s="235">
        <f t="shared" si="23"/>
        <v>58514.516503786697</v>
      </c>
      <c r="K107" s="833"/>
    </row>
    <row r="108" spans="2:11">
      <c r="B108" s="53"/>
      <c r="C108" s="69"/>
      <c r="D108" s="69"/>
      <c r="E108" s="69"/>
      <c r="F108" s="69"/>
      <c r="G108" s="69"/>
      <c r="H108" s="69"/>
      <c r="I108" s="69"/>
      <c r="J108" s="69"/>
      <c r="K108" s="833"/>
    </row>
    <row r="109" spans="2:11">
      <c r="B109" s="232" t="s">
        <v>766</v>
      </c>
      <c r="C109" s="233">
        <f>C107-C83</f>
        <v>0</v>
      </c>
      <c r="D109" s="233">
        <f>D107-D83</f>
        <v>0</v>
      </c>
      <c r="E109" s="233">
        <f>E107-E83</f>
        <v>0</v>
      </c>
      <c r="F109" s="233">
        <f>F107-F83</f>
        <v>0</v>
      </c>
      <c r="G109" s="233">
        <f>G107-G83</f>
        <v>0</v>
      </c>
      <c r="H109" s="233">
        <f>H107-H83</f>
        <v>0</v>
      </c>
      <c r="I109" s="233">
        <f>I107-I83</f>
        <v>0</v>
      </c>
      <c r="J109" s="233">
        <f>J107-J83</f>
        <v>0</v>
      </c>
      <c r="K109" s="833"/>
    </row>
    <row r="110" spans="2:11">
      <c r="B110" s="53"/>
      <c r="C110" s="69"/>
      <c r="D110" s="69"/>
      <c r="E110" s="69"/>
      <c r="F110" s="69"/>
      <c r="G110" s="69"/>
      <c r="H110" s="69"/>
      <c r="I110" s="69"/>
      <c r="J110" s="69"/>
      <c r="K110" s="833"/>
    </row>
    <row r="111" spans="2:11">
      <c r="B111" s="593" t="s">
        <v>767</v>
      </c>
      <c r="C111" s="234"/>
      <c r="D111" s="234"/>
      <c r="E111" s="234"/>
      <c r="F111" s="234"/>
      <c r="G111" s="234"/>
      <c r="H111" s="235"/>
      <c r="I111" s="235"/>
      <c r="J111" s="235"/>
      <c r="K111" s="833"/>
    </row>
    <row r="112" spans="2:11">
      <c r="B112" s="596" t="s">
        <v>768</v>
      </c>
      <c r="C112" s="69"/>
      <c r="D112" s="69"/>
      <c r="E112" s="69"/>
      <c r="F112" s="69"/>
      <c r="G112" s="69"/>
      <c r="H112" s="69"/>
      <c r="I112" s="69"/>
      <c r="J112" s="69"/>
      <c r="K112" s="833"/>
    </row>
    <row r="113" spans="2:11">
      <c r="B113" s="627" t="s">
        <v>62</v>
      </c>
      <c r="C113" s="54">
        <f>C53</f>
        <v>-1223</v>
      </c>
      <c r="D113" s="54">
        <f t="shared" ref="D113:J113" si="24">D53</f>
        <v>-971</v>
      </c>
      <c r="E113" s="54">
        <f t="shared" si="24"/>
        <v>351</v>
      </c>
      <c r="F113" s="54">
        <f t="shared" si="24"/>
        <v>527</v>
      </c>
      <c r="G113" s="54">
        <f t="shared" si="24"/>
        <v>1593.8514759999994</v>
      </c>
      <c r="H113" s="54">
        <f t="shared" si="24"/>
        <v>2357.0490556</v>
      </c>
      <c r="I113" s="54">
        <f t="shared" si="24"/>
        <v>4064.8646311192006</v>
      </c>
      <c r="J113" s="54">
        <f t="shared" si="24"/>
        <v>6038.7513410675037</v>
      </c>
      <c r="K113" s="833"/>
    </row>
    <row r="114" spans="2:11">
      <c r="B114" s="237" t="s">
        <v>769</v>
      </c>
      <c r="C114" s="54"/>
      <c r="D114" s="54"/>
      <c r="E114" s="54"/>
      <c r="F114" s="54"/>
      <c r="G114" s="69"/>
      <c r="H114" s="69"/>
      <c r="I114" s="69"/>
      <c r="J114" s="69"/>
      <c r="K114" s="833"/>
    </row>
    <row r="115" spans="2:11">
      <c r="B115" s="627" t="s">
        <v>238</v>
      </c>
      <c r="C115" s="54">
        <f>'Historical Financials'!C140</f>
        <v>-9</v>
      </c>
      <c r="D115" s="54">
        <f>'Historical Financials'!D140</f>
        <v>-28</v>
      </c>
      <c r="E115" s="54">
        <f>'Historical Financials'!E140</f>
        <v>-9</v>
      </c>
      <c r="F115" s="54">
        <f>'Historical Financials'!F140</f>
        <v>-10</v>
      </c>
      <c r="G115" s="54">
        <f>F115</f>
        <v>-10</v>
      </c>
      <c r="H115" s="54">
        <f t="shared" ref="H115:J115" si="25">G115</f>
        <v>-10</v>
      </c>
      <c r="I115" s="54">
        <f t="shared" si="25"/>
        <v>-10</v>
      </c>
      <c r="J115" s="54">
        <f t="shared" si="25"/>
        <v>-10</v>
      </c>
      <c r="K115" s="833"/>
    </row>
    <row r="116" spans="2:11">
      <c r="B116" s="627" t="s">
        <v>770</v>
      </c>
      <c r="C116" s="54">
        <f>C33+C35</f>
        <v>438</v>
      </c>
      <c r="D116" s="54">
        <f t="shared" ref="D116:J116" si="26">D33+D35</f>
        <v>321</v>
      </c>
      <c r="E116" s="54">
        <f t="shared" si="26"/>
        <v>683</v>
      </c>
      <c r="F116" s="54">
        <f t="shared" si="26"/>
        <v>576</v>
      </c>
      <c r="G116" s="54">
        <f t="shared" si="26"/>
        <v>880</v>
      </c>
      <c r="H116" s="54">
        <f t="shared" si="26"/>
        <v>1180</v>
      </c>
      <c r="I116" s="54">
        <f t="shared" si="26"/>
        <v>1430</v>
      </c>
      <c r="J116" s="54">
        <f t="shared" si="26"/>
        <v>1610</v>
      </c>
      <c r="K116" s="833"/>
    </row>
    <row r="117" spans="2:11">
      <c r="B117" s="627" t="s">
        <v>771</v>
      </c>
      <c r="C117" s="54">
        <f>C34</f>
        <v>108</v>
      </c>
      <c r="D117" s="54">
        <f t="shared" ref="D117:J117" si="27">D34</f>
        <v>256</v>
      </c>
      <c r="E117" s="54">
        <f t="shared" si="27"/>
        <v>242</v>
      </c>
      <c r="F117" s="54">
        <f t="shared" si="27"/>
        <v>287</v>
      </c>
      <c r="G117" s="54">
        <f t="shared" si="27"/>
        <v>250</v>
      </c>
      <c r="H117" s="54">
        <f t="shared" si="27"/>
        <v>200</v>
      </c>
      <c r="I117" s="54">
        <f t="shared" si="27"/>
        <v>160</v>
      </c>
      <c r="J117" s="54">
        <f t="shared" si="27"/>
        <v>130</v>
      </c>
      <c r="K117" s="833"/>
    </row>
    <row r="118" spans="2:11">
      <c r="B118" s="627" t="s">
        <v>241</v>
      </c>
      <c r="C118" s="54">
        <f>'Historical Financials'!C143</f>
        <v>21</v>
      </c>
      <c r="D118" s="54">
        <f>'Historical Financials'!D143</f>
        <v>30</v>
      </c>
      <c r="E118" s="54">
        <f>'Historical Financials'!E143</f>
        <v>68</v>
      </c>
      <c r="F118" s="54">
        <f>'Historical Financials'!F143</f>
        <v>71</v>
      </c>
      <c r="G118" s="54">
        <f>Assumptions!E195</f>
        <v>75</v>
      </c>
      <c r="H118" s="54">
        <f>Assumptions!F195</f>
        <v>85</v>
      </c>
      <c r="I118" s="54">
        <f>Assumptions!G195</f>
        <v>90</v>
      </c>
      <c r="J118" s="54">
        <f>Assumptions!H195</f>
        <v>95</v>
      </c>
      <c r="K118" s="833"/>
    </row>
    <row r="119" spans="2:11">
      <c r="B119" s="627" t="s">
        <v>242</v>
      </c>
      <c r="C119" s="54">
        <f>'Historical Financials'!C144</f>
        <v>0</v>
      </c>
      <c r="D119" s="54">
        <f>'Historical Financials'!D144</f>
        <v>0</v>
      </c>
      <c r="E119" s="54">
        <f>'Historical Financials'!E144</f>
        <v>1</v>
      </c>
      <c r="F119" s="54">
        <f>'Historical Financials'!F144</f>
        <v>0</v>
      </c>
      <c r="G119" s="54">
        <f>F119</f>
        <v>0</v>
      </c>
      <c r="H119" s="54">
        <f t="shared" ref="H119:J119" si="28">G119</f>
        <v>0</v>
      </c>
      <c r="I119" s="54">
        <f t="shared" si="28"/>
        <v>0</v>
      </c>
      <c r="J119" s="54">
        <f t="shared" si="28"/>
        <v>0</v>
      </c>
      <c r="K119" s="833"/>
    </row>
    <row r="120" spans="2:11">
      <c r="B120" s="627" t="s">
        <v>772</v>
      </c>
      <c r="C120" s="54">
        <f>'Historical Financials'!C145</f>
        <v>-1</v>
      </c>
      <c r="D120" s="54">
        <f>'Historical Financials'!D145</f>
        <v>-1</v>
      </c>
      <c r="E120" s="54">
        <f>'Historical Financials'!E145</f>
        <v>-10</v>
      </c>
      <c r="F120" s="54">
        <f>'Historical Financials'!F145</f>
        <v>-3</v>
      </c>
      <c r="G120" s="54">
        <f>F120</f>
        <v>-3</v>
      </c>
      <c r="H120" s="54">
        <f t="shared" ref="H120:J120" si="29">G120</f>
        <v>-3</v>
      </c>
      <c r="I120" s="54">
        <f t="shared" si="29"/>
        <v>-3</v>
      </c>
      <c r="J120" s="54">
        <f t="shared" si="29"/>
        <v>-3</v>
      </c>
      <c r="K120" s="833"/>
    </row>
    <row r="121" spans="2:11">
      <c r="B121" s="627" t="s">
        <v>728</v>
      </c>
      <c r="C121" s="54">
        <f>'Historical Financials'!C146</f>
        <v>878</v>
      </c>
      <c r="D121" s="54">
        <f>'Historical Financials'!D146</f>
        <v>506</v>
      </c>
      <c r="E121" s="54">
        <f>'Historical Financials'!E146</f>
        <v>515</v>
      </c>
      <c r="F121" s="54">
        <f>'Historical Financials'!F146</f>
        <v>798</v>
      </c>
      <c r="G121" s="54">
        <f>G22</f>
        <v>900</v>
      </c>
      <c r="H121" s="54">
        <f t="shared" ref="H121:J121" si="30">H22</f>
        <v>950</v>
      </c>
      <c r="I121" s="54">
        <f t="shared" si="30"/>
        <v>900</v>
      </c>
      <c r="J121" s="54">
        <f t="shared" si="30"/>
        <v>850</v>
      </c>
      <c r="K121" s="833"/>
    </row>
    <row r="122" spans="2:11">
      <c r="B122" s="627" t="s">
        <v>773</v>
      </c>
      <c r="C122" s="54">
        <f>'Historical Financials'!C147</f>
        <v>-1</v>
      </c>
      <c r="D122" s="54">
        <f>'Historical Financials'!D147</f>
        <v>0</v>
      </c>
      <c r="E122" s="54">
        <f>'Historical Financials'!E147</f>
        <v>1</v>
      </c>
      <c r="F122" s="54">
        <f>'Historical Financials'!F147</f>
        <v>11</v>
      </c>
      <c r="G122" s="54">
        <v>0</v>
      </c>
      <c r="H122" s="54">
        <v>0</v>
      </c>
      <c r="I122" s="54">
        <v>0</v>
      </c>
      <c r="J122" s="54">
        <v>0</v>
      </c>
      <c r="K122" s="833"/>
    </row>
    <row r="123" spans="2:11">
      <c r="B123" s="627" t="s">
        <v>774</v>
      </c>
      <c r="C123" s="54">
        <f>'Historical Financials'!C148</f>
        <v>-59</v>
      </c>
      <c r="D123" s="54">
        <f>'Historical Financials'!D148</f>
        <v>-91</v>
      </c>
      <c r="E123" s="54">
        <f>'Historical Financials'!E148</f>
        <v>-129</v>
      </c>
      <c r="F123" s="54">
        <f>'Historical Financials'!F148</f>
        <v>-151</v>
      </c>
      <c r="G123" s="54">
        <f>Assumptions!E197</f>
        <v>-145</v>
      </c>
      <c r="H123" s="54">
        <f>Assumptions!F197</f>
        <v>-130</v>
      </c>
      <c r="I123" s="54">
        <f>Assumptions!G197</f>
        <v>-110</v>
      </c>
      <c r="J123" s="54">
        <f>Assumptions!H197</f>
        <v>-90</v>
      </c>
      <c r="K123" s="833"/>
    </row>
    <row r="124" spans="2:11">
      <c r="B124" s="627" t="s">
        <v>775</v>
      </c>
      <c r="C124" s="54">
        <f>'Historical Financials'!C150</f>
        <v>0</v>
      </c>
      <c r="D124" s="54">
        <f>'Historical Financials'!D150</f>
        <v>0</v>
      </c>
      <c r="E124" s="54">
        <f>'Historical Financials'!E150</f>
        <v>-107</v>
      </c>
      <c r="F124" s="54">
        <f>'Historical Financials'!F150</f>
        <v>-100</v>
      </c>
      <c r="G124" s="54">
        <f>Assumptions!E198</f>
        <v>-90</v>
      </c>
      <c r="H124" s="54">
        <f>Assumptions!F198</f>
        <v>-75</v>
      </c>
      <c r="I124" s="54">
        <f>Assumptions!G198</f>
        <v>-55</v>
      </c>
      <c r="J124" s="54">
        <f>Assumptions!H198</f>
        <v>-40</v>
      </c>
      <c r="K124" s="833"/>
    </row>
    <row r="125" spans="2:11">
      <c r="B125" s="627" t="s">
        <v>776</v>
      </c>
      <c r="C125" s="54">
        <f>'Historical Financials'!C151</f>
        <v>0</v>
      </c>
      <c r="D125" s="54">
        <f>'Historical Financials'!D151</f>
        <v>0</v>
      </c>
      <c r="E125" s="54">
        <f>'Historical Financials'!E151</f>
        <v>-320</v>
      </c>
      <c r="F125" s="54">
        <f>'Historical Financials'!F151</f>
        <v>-436</v>
      </c>
      <c r="G125" s="54">
        <f>Assumptions!E199</f>
        <v>-380</v>
      </c>
      <c r="H125" s="54">
        <f>Assumptions!F199</f>
        <v>-300</v>
      </c>
      <c r="I125" s="54">
        <f>Assumptions!G199</f>
        <v>-240</v>
      </c>
      <c r="J125" s="54">
        <f>Assumptions!H199</f>
        <v>-180</v>
      </c>
      <c r="K125" s="833"/>
    </row>
    <row r="126" spans="2:11">
      <c r="B126" s="627" t="s">
        <v>777</v>
      </c>
      <c r="C126" s="54">
        <f>'Historical Financials'!C152</f>
        <v>0</v>
      </c>
      <c r="D126" s="54">
        <f>'Historical Financials'!D152</f>
        <v>0</v>
      </c>
      <c r="E126" s="54">
        <f>'Historical Financials'!E152</f>
        <v>-41</v>
      </c>
      <c r="F126" s="54">
        <f>'Historical Financials'!F152</f>
        <v>-89</v>
      </c>
      <c r="G126" s="54">
        <f>Assumptions!E200</f>
        <v>-80</v>
      </c>
      <c r="H126" s="54">
        <f>Assumptions!F200</f>
        <v>-70</v>
      </c>
      <c r="I126" s="54">
        <f>Assumptions!G200</f>
        <v>-55</v>
      </c>
      <c r="J126" s="54">
        <f>Assumptions!H200</f>
        <v>-40</v>
      </c>
      <c r="K126" s="833"/>
    </row>
    <row r="127" spans="2:11">
      <c r="B127" s="627" t="s">
        <v>778</v>
      </c>
      <c r="C127" s="54">
        <f>'Historical Financials'!C153</f>
        <v>0</v>
      </c>
      <c r="D127" s="54">
        <f>'Historical Financials'!D153</f>
        <v>0</v>
      </c>
      <c r="E127" s="54">
        <f>'Historical Financials'!E153</f>
        <v>0</v>
      </c>
      <c r="F127" s="54">
        <f>'Historical Financials'!F153</f>
        <v>-4</v>
      </c>
      <c r="G127" s="54">
        <f>Assumptions!E201</f>
        <v>-4</v>
      </c>
      <c r="H127" s="54">
        <f>Assumptions!F201</f>
        <v>-3</v>
      </c>
      <c r="I127" s="54">
        <f>Assumptions!G201</f>
        <v>-2</v>
      </c>
      <c r="J127" s="54">
        <f>Assumptions!H201</f>
        <v>-1</v>
      </c>
      <c r="K127" s="833"/>
    </row>
    <row r="128" spans="2:11">
      <c r="B128" s="627" t="s">
        <v>779</v>
      </c>
      <c r="C128" s="54">
        <f>'Historical Financials'!C154</f>
        <v>1</v>
      </c>
      <c r="D128" s="54">
        <f>'Historical Financials'!D154</f>
        <v>5</v>
      </c>
      <c r="E128" s="54">
        <f>'Historical Financials'!E154</f>
        <v>2</v>
      </c>
      <c r="F128" s="54">
        <f>'Historical Financials'!F154</f>
        <v>4</v>
      </c>
      <c r="G128" s="54">
        <f>Assumptions!E202</f>
        <v>5</v>
      </c>
      <c r="H128" s="54">
        <f>Assumptions!F202</f>
        <v>5</v>
      </c>
      <c r="I128" s="54">
        <f>Assumptions!G202</f>
        <v>5</v>
      </c>
      <c r="J128" s="54">
        <f>Assumptions!H202</f>
        <v>5</v>
      </c>
      <c r="K128" s="833"/>
    </row>
    <row r="129" spans="2:11">
      <c r="B129" s="627" t="s">
        <v>780</v>
      </c>
      <c r="C129" s="54">
        <f>'Historical Financials'!C155</f>
        <v>-323</v>
      </c>
      <c r="D129" s="54">
        <f>'Historical Financials'!D155</f>
        <v>0</v>
      </c>
      <c r="E129" s="54">
        <f>'Historical Financials'!E155</f>
        <v>-1</v>
      </c>
      <c r="F129" s="54">
        <f>'Historical Financials'!F155</f>
        <v>0</v>
      </c>
      <c r="G129" s="54">
        <f>F129</f>
        <v>0</v>
      </c>
      <c r="H129" s="54">
        <f t="shared" ref="H129:J129" si="31">G129</f>
        <v>0</v>
      </c>
      <c r="I129" s="54">
        <f t="shared" si="31"/>
        <v>0</v>
      </c>
      <c r="J129" s="54">
        <f t="shared" si="31"/>
        <v>0</v>
      </c>
      <c r="K129" s="833"/>
    </row>
    <row r="130" spans="2:11">
      <c r="B130" s="627" t="s">
        <v>781</v>
      </c>
      <c r="C130" s="54">
        <f>'Historical Financials'!C156</f>
        <v>10</v>
      </c>
      <c r="D130" s="54">
        <f>'Historical Financials'!D156</f>
        <v>45</v>
      </c>
      <c r="E130" s="54">
        <f>'Historical Financials'!E156</f>
        <v>67</v>
      </c>
      <c r="F130" s="54">
        <f>'Historical Financials'!F156</f>
        <v>147</v>
      </c>
      <c r="G130" s="54">
        <f>G42</f>
        <v>264</v>
      </c>
      <c r="H130" s="54">
        <f t="shared" ref="H130:J130" si="32">H42</f>
        <v>357</v>
      </c>
      <c r="I130" s="54">
        <f t="shared" si="32"/>
        <v>417</v>
      </c>
      <c r="J130" s="54">
        <f t="shared" si="32"/>
        <v>442</v>
      </c>
      <c r="K130" s="833"/>
    </row>
    <row r="131" spans="2:11" ht="25.5">
      <c r="B131" s="627" t="s">
        <v>782</v>
      </c>
      <c r="C131" s="54">
        <f>'Historical Financials'!C157</f>
        <v>-391</v>
      </c>
      <c r="D131" s="54">
        <f>'Historical Financials'!D157</f>
        <v>-524</v>
      </c>
      <c r="E131" s="54">
        <f>'Historical Financials'!E157</f>
        <v>-220</v>
      </c>
      <c r="F131" s="54">
        <f>'Historical Financials'!F157</f>
        <v>-262</v>
      </c>
      <c r="G131" s="54">
        <f>Assumptions!E203</f>
        <v>-230</v>
      </c>
      <c r="H131" s="54">
        <f>Assumptions!F203</f>
        <v>-195</v>
      </c>
      <c r="I131" s="54">
        <f>Assumptions!G203</f>
        <v>-155</v>
      </c>
      <c r="J131" s="54">
        <f>Assumptions!H203</f>
        <v>-120</v>
      </c>
      <c r="K131" s="833"/>
    </row>
    <row r="132" spans="2:11">
      <c r="B132" s="627" t="s">
        <v>783</v>
      </c>
      <c r="C132" s="54">
        <f>'Historical Financials'!C158</f>
        <v>0</v>
      </c>
      <c r="D132" s="54">
        <f>'Historical Financials'!D158</f>
        <v>-1</v>
      </c>
      <c r="E132" s="54">
        <f>'Historical Financials'!E158</f>
        <v>-1</v>
      </c>
      <c r="F132" s="54">
        <f>'Historical Financials'!F158</f>
        <v>-17</v>
      </c>
      <c r="G132" s="54">
        <f>Assumptions!E204</f>
        <v>-15</v>
      </c>
      <c r="H132" s="54">
        <f>Assumptions!F204</f>
        <v>-12</v>
      </c>
      <c r="I132" s="54">
        <f>Assumptions!G204</f>
        <v>-10</v>
      </c>
      <c r="J132" s="54">
        <f>Assumptions!H204</f>
        <v>-8</v>
      </c>
      <c r="K132" s="833"/>
    </row>
    <row r="133" spans="2:11">
      <c r="B133" s="627" t="s">
        <v>784</v>
      </c>
      <c r="C133" s="54">
        <f>'Historical Financials'!C159</f>
        <v>25</v>
      </c>
      <c r="D133" s="54">
        <f>'Historical Financials'!D159</f>
        <v>0</v>
      </c>
      <c r="E133" s="54">
        <f>'Historical Financials'!E159</f>
        <v>0</v>
      </c>
      <c r="F133" s="54">
        <f>'Historical Financials'!F159</f>
        <v>0</v>
      </c>
      <c r="G133" s="54">
        <f>F133</f>
        <v>0</v>
      </c>
      <c r="H133" s="54">
        <f>G133</f>
        <v>0</v>
      </c>
      <c r="I133" s="54">
        <f>H133</f>
        <v>0</v>
      </c>
      <c r="J133" s="54">
        <f>I133</f>
        <v>0</v>
      </c>
      <c r="K133" s="833"/>
    </row>
    <row r="134" spans="2:11">
      <c r="B134" s="627" t="s">
        <v>257</v>
      </c>
      <c r="C134" s="54">
        <f>'Historical Financials'!C160</f>
        <v>-1</v>
      </c>
      <c r="D134" s="54">
        <f>'Historical Financials'!D160</f>
        <v>0</v>
      </c>
      <c r="E134" s="54">
        <f>'Historical Financials'!E160</f>
        <v>0</v>
      </c>
      <c r="F134" s="54">
        <f>'Historical Financials'!F160</f>
        <v>0</v>
      </c>
      <c r="G134" s="54">
        <f>F134</f>
        <v>0</v>
      </c>
      <c r="H134" s="54">
        <f>G134</f>
        <v>0</v>
      </c>
      <c r="I134" s="54">
        <f>H134</f>
        <v>0</v>
      </c>
      <c r="J134" s="54">
        <f>I134</f>
        <v>0</v>
      </c>
      <c r="K134" s="833"/>
    </row>
    <row r="135" spans="2:11" ht="25.5">
      <c r="B135" s="210" t="s">
        <v>785</v>
      </c>
      <c r="C135" s="236">
        <f>'Historical Financials'!C161</f>
        <v>-527</v>
      </c>
      <c r="D135" s="236">
        <f>'Historical Financials'!D161</f>
        <v>-453</v>
      </c>
      <c r="E135" s="236">
        <f>'Historical Financials'!E161</f>
        <v>1092</v>
      </c>
      <c r="F135" s="236">
        <f>'Historical Financials'!F161</f>
        <v>1349</v>
      </c>
      <c r="G135" s="236">
        <f>SUM(G113:G134)</f>
        <v>3010.8514759999994</v>
      </c>
      <c r="H135" s="236">
        <f t="shared" ref="H135:J135" si="33">SUM(H113:H134)</f>
        <v>4336.0490556000004</v>
      </c>
      <c r="I135" s="236">
        <f t="shared" si="33"/>
        <v>6426.8646311192006</v>
      </c>
      <c r="J135" s="236">
        <f t="shared" si="33"/>
        <v>8678.7513410675037</v>
      </c>
      <c r="K135" s="833"/>
    </row>
    <row r="136" spans="2:11">
      <c r="B136" s="237" t="s">
        <v>786</v>
      </c>
      <c r="C136" s="69"/>
      <c r="D136" s="69"/>
      <c r="E136" s="69"/>
      <c r="F136" s="69"/>
      <c r="G136" s="69"/>
      <c r="H136" s="69"/>
      <c r="I136" s="69"/>
      <c r="J136" s="69"/>
      <c r="K136" s="833"/>
    </row>
    <row r="137" spans="2:11">
      <c r="B137" s="627" t="s">
        <v>260</v>
      </c>
      <c r="C137" s="54">
        <f>'Historical Financials'!C164</f>
        <v>-34</v>
      </c>
      <c r="D137" s="54">
        <f>'Historical Financials'!D164</f>
        <v>-203</v>
      </c>
      <c r="E137" s="54">
        <f>'Historical Financials'!E164</f>
        <v>-348</v>
      </c>
      <c r="F137" s="54">
        <f>'Historical Financials'!F164</f>
        <v>-1117</v>
      </c>
      <c r="G137" s="54">
        <f>-(G75-F75)</f>
        <v>-1036</v>
      </c>
      <c r="H137" s="54">
        <f t="shared" ref="H137:J137" si="34">-(H75-G75)</f>
        <v>-1195</v>
      </c>
      <c r="I137" s="54">
        <f t="shared" si="34"/>
        <v>-1060</v>
      </c>
      <c r="J137" s="54">
        <f t="shared" si="34"/>
        <v>-1011</v>
      </c>
      <c r="K137" s="833"/>
    </row>
    <row r="138" spans="2:11">
      <c r="B138" s="627" t="s">
        <v>261</v>
      </c>
      <c r="C138" s="54">
        <f>'Historical Financials'!C165</f>
        <v>-304</v>
      </c>
      <c r="D138" s="54">
        <f>'Historical Financials'!D165</f>
        <v>-221</v>
      </c>
      <c r="E138" s="54">
        <f>'Historical Financials'!E165</f>
        <v>-354</v>
      </c>
      <c r="F138" s="54">
        <f>'Historical Financials'!F165</f>
        <v>-226</v>
      </c>
      <c r="G138" s="54">
        <f>Assumptions!E207</f>
        <v>-431</v>
      </c>
      <c r="H138" s="54">
        <f>Assumptions!F207</f>
        <v>-800</v>
      </c>
      <c r="I138" s="54">
        <f>Assumptions!G207</f>
        <v>-800</v>
      </c>
      <c r="J138" s="54">
        <f>Assumptions!H207</f>
        <v>-700</v>
      </c>
      <c r="K138" s="833"/>
    </row>
    <row r="139" spans="2:11">
      <c r="B139" s="627" t="s">
        <v>262</v>
      </c>
      <c r="C139" s="54">
        <f>'Historical Financials'!C166</f>
        <v>145</v>
      </c>
      <c r="D139" s="54">
        <f>'Historical Financials'!D166</f>
        <v>-165</v>
      </c>
      <c r="E139" s="54">
        <f>'Historical Financials'!E166</f>
        <v>-258</v>
      </c>
      <c r="F139" s="54">
        <f>'Historical Financials'!F166</f>
        <v>-416</v>
      </c>
      <c r="G139" s="54">
        <f>Assumptions!E208</f>
        <v>-176</v>
      </c>
      <c r="H139" s="54">
        <f>Assumptions!F208</f>
        <v>-300</v>
      </c>
      <c r="I139" s="54">
        <f>Assumptions!G208</f>
        <v>-300</v>
      </c>
      <c r="J139" s="54">
        <f>Assumptions!H208</f>
        <v>-300</v>
      </c>
      <c r="K139" s="833"/>
    </row>
    <row r="140" spans="2:11">
      <c r="B140" s="627" t="s">
        <v>787</v>
      </c>
      <c r="C140" s="54">
        <f>'Historical Financials'!C167</f>
        <v>-28</v>
      </c>
      <c r="D140" s="54">
        <f>'Historical Financials'!D167</f>
        <v>-43</v>
      </c>
      <c r="E140" s="54">
        <f>'Historical Financials'!E167</f>
        <v>-5</v>
      </c>
      <c r="F140" s="54">
        <f>'Historical Financials'!F167</f>
        <v>-88</v>
      </c>
      <c r="G140" s="54">
        <f>-(G73-F73)</f>
        <v>-114</v>
      </c>
      <c r="H140" s="54">
        <f t="shared" ref="H140:J140" si="35">-(H73-G73)</f>
        <v>-141</v>
      </c>
      <c r="I140" s="54">
        <f t="shared" si="35"/>
        <v>-109</v>
      </c>
      <c r="J140" s="54">
        <f t="shared" si="35"/>
        <v>-67</v>
      </c>
      <c r="K140" s="833"/>
    </row>
    <row r="141" spans="2:11" ht="25.5">
      <c r="B141" s="627" t="s">
        <v>788</v>
      </c>
      <c r="C141" s="54">
        <f>'Historical Financials'!C168</f>
        <v>48</v>
      </c>
      <c r="D141" s="54">
        <f>'Historical Financials'!D168</f>
        <v>318</v>
      </c>
      <c r="E141" s="54">
        <f>'Historical Financials'!E168</f>
        <v>413</v>
      </c>
      <c r="F141" s="54">
        <f>'Historical Financials'!F168</f>
        <v>274</v>
      </c>
      <c r="G141" s="54">
        <f>Assumptions!E209</f>
        <v>474</v>
      </c>
      <c r="H141" s="54">
        <f>Assumptions!F209</f>
        <v>840</v>
      </c>
      <c r="I141" s="54">
        <f>Assumptions!G209</f>
        <v>1200</v>
      </c>
      <c r="J141" s="54">
        <f>Assumptions!H209</f>
        <v>1200</v>
      </c>
      <c r="K141" s="833"/>
    </row>
    <row r="142" spans="2:11">
      <c r="B142" s="627" t="s">
        <v>265</v>
      </c>
      <c r="C142" s="54">
        <f>'Historical Financials'!C169</f>
        <v>45</v>
      </c>
      <c r="D142" s="54">
        <f>'Historical Financials'!D169</f>
        <v>25</v>
      </c>
      <c r="E142" s="54">
        <f>'Historical Financials'!E169</f>
        <v>0</v>
      </c>
      <c r="F142" s="54">
        <f>'Historical Financials'!F169</f>
        <v>21</v>
      </c>
      <c r="G142" s="54">
        <f>Assumptions!E210</f>
        <v>26</v>
      </c>
      <c r="H142" s="54">
        <f>Assumptions!F210</f>
        <v>33</v>
      </c>
      <c r="I142" s="54">
        <f>Assumptions!G210</f>
        <v>27</v>
      </c>
      <c r="J142" s="54">
        <f>Assumptions!H210</f>
        <v>25</v>
      </c>
      <c r="K142" s="833"/>
    </row>
    <row r="143" spans="2:11">
      <c r="B143" s="627" t="s">
        <v>266</v>
      </c>
      <c r="C143" s="54">
        <f>'Historical Financials'!C170</f>
        <v>140</v>
      </c>
      <c r="D143" s="54">
        <f>'Historical Financials'!D170</f>
        <v>-71</v>
      </c>
      <c r="E143" s="54">
        <f>'Historical Financials'!E170</f>
        <v>211</v>
      </c>
      <c r="F143" s="54">
        <f>'Historical Financials'!F170</f>
        <v>629</v>
      </c>
      <c r="G143" s="54">
        <f>(G101+G102)-(F101+F102)</f>
        <v>-856</v>
      </c>
      <c r="H143" s="54">
        <f t="shared" ref="H143:J143" si="36">(H101+H102)-(G101+G102)</f>
        <v>262</v>
      </c>
      <c r="I143" s="54">
        <f t="shared" si="36"/>
        <v>355</v>
      </c>
      <c r="J143" s="54">
        <f t="shared" si="36"/>
        <v>288</v>
      </c>
      <c r="K143" s="833"/>
    </row>
    <row r="144" spans="2:11">
      <c r="B144" s="210" t="s">
        <v>267</v>
      </c>
      <c r="C144" s="54">
        <f>'Historical Financials'!C173</f>
        <v>-515</v>
      </c>
      <c r="D144" s="54">
        <f>'Historical Financials'!D173</f>
        <v>-813</v>
      </c>
      <c r="E144" s="54">
        <f>'Historical Financials'!E173</f>
        <v>751</v>
      </c>
      <c r="F144" s="54">
        <f>'Historical Financials'!F173</f>
        <v>426</v>
      </c>
      <c r="G144" s="238">
        <f>G135+SUM(G137:G143)</f>
        <v>897.85147599999937</v>
      </c>
      <c r="H144" s="238">
        <f t="shared" ref="H144:J144" si="37">H135+SUM(H137:H143)</f>
        <v>3035.0490556000004</v>
      </c>
      <c r="I144" s="238">
        <f t="shared" si="37"/>
        <v>5739.8646311192006</v>
      </c>
      <c r="J144" s="238">
        <f t="shared" si="37"/>
        <v>8113.7513410675037</v>
      </c>
      <c r="K144" s="833"/>
    </row>
    <row r="145" spans="2:11">
      <c r="B145" s="627" t="s">
        <v>268</v>
      </c>
      <c r="C145" s="54">
        <f>'Historical Financials'!C174</f>
        <v>-19</v>
      </c>
      <c r="D145" s="54">
        <f>'Historical Financials'!D174</f>
        <v>-31</v>
      </c>
      <c r="E145" s="54">
        <f>'Historical Financials'!E174</f>
        <v>-105</v>
      </c>
      <c r="F145" s="54">
        <f>'Historical Financials'!F174</f>
        <v>-118</v>
      </c>
      <c r="G145" s="54">
        <f>-(G49)</f>
        <v>-431</v>
      </c>
      <c r="H145" s="54">
        <f t="shared" ref="H145:J145" si="38">-(H49)</f>
        <v>-650</v>
      </c>
      <c r="I145" s="54">
        <f t="shared" si="38"/>
        <v>-1339</v>
      </c>
      <c r="J145" s="54">
        <f t="shared" si="38"/>
        <v>-1998</v>
      </c>
      <c r="K145" s="833"/>
    </row>
    <row r="146" spans="2:11">
      <c r="B146" s="232" t="s">
        <v>789</v>
      </c>
      <c r="C146" s="239">
        <f>'Historical Financials'!C175</f>
        <v>-534</v>
      </c>
      <c r="D146" s="239">
        <f>'Historical Financials'!D175</f>
        <v>-844</v>
      </c>
      <c r="E146" s="239">
        <f>'Historical Financials'!E175</f>
        <v>646</v>
      </c>
      <c r="F146" s="239">
        <f>'Historical Financials'!F175</f>
        <v>308</v>
      </c>
      <c r="G146" s="233">
        <f>SUM(G144:G145)</f>
        <v>466.85147599999937</v>
      </c>
      <c r="H146" s="233">
        <f t="shared" ref="H146:J146" si="39">SUM(H144:H145)</f>
        <v>2385.0490556000004</v>
      </c>
      <c r="I146" s="233">
        <f t="shared" si="39"/>
        <v>4400.8646311192006</v>
      </c>
      <c r="J146" s="233">
        <f t="shared" si="39"/>
        <v>6115.7513410675037</v>
      </c>
      <c r="K146" s="833"/>
    </row>
    <row r="147" spans="2:11">
      <c r="B147" s="53"/>
      <c r="C147" s="69"/>
      <c r="D147" s="69"/>
      <c r="E147" s="69"/>
      <c r="F147" s="69"/>
      <c r="G147" s="69"/>
      <c r="H147" s="69"/>
      <c r="I147" s="69"/>
      <c r="J147" s="69"/>
      <c r="K147" s="833"/>
    </row>
    <row r="148" spans="2:11">
      <c r="B148" s="596" t="s">
        <v>790</v>
      </c>
      <c r="C148" s="69"/>
      <c r="D148" s="69"/>
      <c r="E148" s="69"/>
      <c r="F148" s="69"/>
      <c r="G148" s="69"/>
      <c r="H148" s="69"/>
      <c r="I148" s="69"/>
      <c r="J148" s="69"/>
      <c r="K148" s="833"/>
    </row>
    <row r="149" spans="2:11">
      <c r="B149" s="627" t="s">
        <v>791</v>
      </c>
      <c r="C149" s="54">
        <f>'Historical Financials'!C178</f>
        <v>-59</v>
      </c>
      <c r="D149" s="54">
        <f>'Historical Financials'!D178</f>
        <v>-103</v>
      </c>
      <c r="E149" s="54">
        <f>'Historical Financials'!E178</f>
        <v>-215</v>
      </c>
      <c r="F149" s="54">
        <f>'Historical Financials'!F178</f>
        <v>-936</v>
      </c>
      <c r="G149" s="54">
        <f>-(Assumptions!E137)</f>
        <v>-1100</v>
      </c>
      <c r="H149" s="54">
        <f>-(Assumptions!F137)</f>
        <v>-1450</v>
      </c>
      <c r="I149" s="54">
        <f>-(Assumptions!G137)</f>
        <v>-1300</v>
      </c>
      <c r="J149" s="54">
        <f>-(Assumptions!H137)</f>
        <v>-1000</v>
      </c>
      <c r="K149" s="833"/>
    </row>
    <row r="150" spans="2:11">
      <c r="B150" s="627" t="s">
        <v>792</v>
      </c>
      <c r="C150" s="54">
        <f>'Historical Financials'!C179</f>
        <v>2</v>
      </c>
      <c r="D150" s="54">
        <f>'Historical Financials'!D179</f>
        <v>2</v>
      </c>
      <c r="E150" s="54">
        <f>'Historical Financials'!E179</f>
        <v>13</v>
      </c>
      <c r="F150" s="54">
        <f>'Historical Financials'!F179</f>
        <v>5</v>
      </c>
      <c r="G150" s="54">
        <f>Assumptions!E221</f>
        <v>5</v>
      </c>
      <c r="H150" s="54">
        <f>Assumptions!F221</f>
        <v>5</v>
      </c>
      <c r="I150" s="54">
        <f>Assumptions!G221</f>
        <v>5</v>
      </c>
      <c r="J150" s="54">
        <f>Assumptions!H221</f>
        <v>5</v>
      </c>
      <c r="K150" s="833"/>
    </row>
    <row r="151" spans="2:11">
      <c r="B151" s="627" t="s">
        <v>793</v>
      </c>
      <c r="C151" s="54">
        <f>'Historical Financials'!C180</f>
        <v>-11714</v>
      </c>
      <c r="D151" s="54">
        <f>'Historical Financials'!D180</f>
        <v>-5433</v>
      </c>
      <c r="E151" s="54">
        <f>'Historical Financials'!E180</f>
        <v>-1944</v>
      </c>
      <c r="F151" s="54">
        <f>'Historical Financials'!F180</f>
        <v>-7697</v>
      </c>
      <c r="G151" s="54">
        <f>Assumptions!E213</f>
        <v>-2000</v>
      </c>
      <c r="H151" s="54">
        <f>Assumptions!F213</f>
        <v>-1500</v>
      </c>
      <c r="I151" s="54">
        <f>Assumptions!G213</f>
        <v>-1500</v>
      </c>
      <c r="J151" s="54">
        <f>Assumptions!H213</f>
        <v>-1200</v>
      </c>
      <c r="K151" s="833"/>
    </row>
    <row r="152" spans="2:11">
      <c r="B152" s="627" t="s">
        <v>794</v>
      </c>
      <c r="C152" s="54">
        <f>'Historical Financials'!C181</f>
        <v>6183</v>
      </c>
      <c r="D152" s="54">
        <f>'Historical Financials'!D181</f>
        <v>8721</v>
      </c>
      <c r="E152" s="54">
        <f>'Historical Financials'!E181</f>
        <v>5938</v>
      </c>
      <c r="F152" s="54">
        <f>'Historical Financials'!F181</f>
        <v>2942</v>
      </c>
      <c r="G152" s="54">
        <f>Assumptions!E214</f>
        <v>1500</v>
      </c>
      <c r="H152" s="54">
        <f>Assumptions!F214</f>
        <v>1300</v>
      </c>
      <c r="I152" s="54">
        <f>Assumptions!G214</f>
        <v>1200</v>
      </c>
      <c r="J152" s="54">
        <f>Assumptions!H214</f>
        <v>1000</v>
      </c>
      <c r="K152" s="833"/>
    </row>
    <row r="153" spans="2:11">
      <c r="B153" s="627" t="s">
        <v>275</v>
      </c>
      <c r="C153" s="54">
        <f>'Historical Financials'!C182</f>
        <v>4933</v>
      </c>
      <c r="D153" s="54">
        <f>'Historical Financials'!D182</f>
        <v>12649</v>
      </c>
      <c r="E153" s="54">
        <f>'Historical Financials'!E182</f>
        <v>29509</v>
      </c>
      <c r="F153" s="54">
        <f>'Historical Financials'!F182</f>
        <v>46738</v>
      </c>
      <c r="G153" s="54">
        <f>Assumptions!E215</f>
        <v>18800</v>
      </c>
      <c r="H153" s="54">
        <f>Assumptions!F215</f>
        <v>16900</v>
      </c>
      <c r="I153" s="54">
        <f>Assumptions!G215</f>
        <v>13000</v>
      </c>
      <c r="J153" s="54">
        <f>Assumptions!H215</f>
        <v>10500</v>
      </c>
      <c r="K153" s="833"/>
    </row>
    <row r="154" spans="2:11">
      <c r="B154" s="627" t="s">
        <v>276</v>
      </c>
      <c r="C154" s="54">
        <f>'Historical Financials'!C183</f>
        <v>-4301</v>
      </c>
      <c r="D154" s="54">
        <f>'Historical Financials'!D183</f>
        <v>-14443</v>
      </c>
      <c r="E154" s="54">
        <f>'Historical Financials'!E183</f>
        <v>-27010</v>
      </c>
      <c r="F154" s="54">
        <f>'Historical Financials'!F183</f>
        <v>-47326</v>
      </c>
      <c r="G154" s="54">
        <f>Assumptions!E216</f>
        <v>-18446</v>
      </c>
      <c r="H154" s="54">
        <f>Assumptions!F216</f>
        <v>-17163</v>
      </c>
      <c r="I154" s="54">
        <f>Assumptions!G216</f>
        <v>-13967</v>
      </c>
      <c r="J154" s="54">
        <f>Assumptions!H216</f>
        <v>-11627</v>
      </c>
      <c r="K154" s="833"/>
    </row>
    <row r="155" spans="2:11">
      <c r="B155" s="627" t="s">
        <v>795</v>
      </c>
      <c r="C155" s="54">
        <f>'Historical Financials'!C184</f>
        <v>0</v>
      </c>
      <c r="D155" s="54">
        <f>'Historical Financials'!D184</f>
        <v>-61</v>
      </c>
      <c r="E155" s="54">
        <f>'Historical Financials'!E184</f>
        <v>0</v>
      </c>
      <c r="F155" s="54">
        <f>'Historical Financials'!F184</f>
        <v>-2005</v>
      </c>
      <c r="G155" s="54">
        <v>0</v>
      </c>
      <c r="H155" s="54">
        <v>0</v>
      </c>
      <c r="I155" s="54">
        <v>0</v>
      </c>
      <c r="J155" s="54">
        <v>0</v>
      </c>
      <c r="K155" s="833"/>
    </row>
    <row r="156" spans="2:11">
      <c r="B156" s="627" t="s">
        <v>796</v>
      </c>
      <c r="C156" s="54">
        <f>'Historical Financials'!C185</f>
        <v>-2607</v>
      </c>
      <c r="D156" s="54">
        <f>'Historical Financials'!D185</f>
        <v>0</v>
      </c>
      <c r="E156" s="54">
        <f>'Historical Financials'!E185</f>
        <v>0</v>
      </c>
      <c r="F156" s="54">
        <f>'Historical Financials'!F185</f>
        <v>0</v>
      </c>
      <c r="G156" s="54">
        <f>F156</f>
        <v>0</v>
      </c>
      <c r="H156" s="54">
        <f t="shared" ref="H156:J156" si="40">G156</f>
        <v>0</v>
      </c>
      <c r="I156" s="54">
        <f t="shared" si="40"/>
        <v>0</v>
      </c>
      <c r="J156" s="54">
        <f t="shared" si="40"/>
        <v>0</v>
      </c>
      <c r="K156" s="833"/>
    </row>
    <row r="157" spans="2:11">
      <c r="B157" s="627" t="s">
        <v>797</v>
      </c>
      <c r="C157" s="54">
        <f>'Historical Financials'!C186</f>
        <v>375</v>
      </c>
      <c r="D157" s="54">
        <f>'Historical Financials'!D186</f>
        <v>0</v>
      </c>
      <c r="E157" s="54">
        <f>'Historical Financials'!E186</f>
        <v>1</v>
      </c>
      <c r="F157" s="54">
        <f>'Historical Financials'!F186</f>
        <v>0</v>
      </c>
      <c r="G157" s="54">
        <f>F157</f>
        <v>0</v>
      </c>
      <c r="H157" s="54">
        <f t="shared" ref="H157:J157" si="41">G157</f>
        <v>0</v>
      </c>
      <c r="I157" s="54">
        <f t="shared" si="41"/>
        <v>0</v>
      </c>
      <c r="J157" s="54">
        <f t="shared" si="41"/>
        <v>0</v>
      </c>
      <c r="K157" s="833"/>
    </row>
    <row r="158" spans="2:11">
      <c r="B158" s="627" t="s">
        <v>280</v>
      </c>
      <c r="C158" s="54">
        <f>'Historical Financials'!C187</f>
        <v>-468</v>
      </c>
      <c r="D158" s="54">
        <f>'Historical Financials'!D187</f>
        <v>-565</v>
      </c>
      <c r="E158" s="54">
        <f>'Historical Financials'!E187</f>
        <v>-2420</v>
      </c>
      <c r="F158" s="54">
        <f>'Historical Financials'!F187</f>
        <v>-648</v>
      </c>
      <c r="G158" s="54">
        <f>Assumptions!E217</f>
        <v>-200</v>
      </c>
      <c r="H158" s="54">
        <f>Assumptions!F217</f>
        <v>-150</v>
      </c>
      <c r="I158" s="54">
        <f>Assumptions!G217</f>
        <v>0</v>
      </c>
      <c r="J158" s="54">
        <f>Assumptions!H217</f>
        <v>0</v>
      </c>
      <c r="K158" s="833"/>
    </row>
    <row r="159" spans="2:11">
      <c r="B159" s="627" t="s">
        <v>281</v>
      </c>
      <c r="C159" s="54">
        <f>'Historical Financials'!C188</f>
        <v>0</v>
      </c>
      <c r="D159" s="54">
        <f>'Historical Financials'!D188</f>
        <v>0</v>
      </c>
      <c r="E159" s="54">
        <f>'Historical Financials'!E188</f>
        <v>935</v>
      </c>
      <c r="F159" s="54">
        <f>'Historical Financials'!F188</f>
        <v>65</v>
      </c>
      <c r="G159" s="54">
        <f>Assumptions!E218</f>
        <v>150</v>
      </c>
      <c r="H159" s="54">
        <f>Assumptions!F218</f>
        <v>150</v>
      </c>
      <c r="I159" s="54">
        <f>Assumptions!G218</f>
        <v>0</v>
      </c>
      <c r="J159" s="54">
        <f>Assumptions!H218</f>
        <v>0</v>
      </c>
      <c r="K159" s="833"/>
    </row>
    <row r="160" spans="2:11">
      <c r="B160" s="627" t="s">
        <v>798</v>
      </c>
      <c r="C160" s="54">
        <f>'Historical Financials'!C189</f>
        <v>0</v>
      </c>
      <c r="D160" s="54">
        <f>'Historical Financials'!D189</f>
        <v>-50</v>
      </c>
      <c r="E160" s="54">
        <f>'Historical Financials'!E189</f>
        <v>-5772</v>
      </c>
      <c r="F160" s="54">
        <f>'Historical Financials'!F189</f>
        <v>0</v>
      </c>
      <c r="G160" s="54">
        <f>F160</f>
        <v>0</v>
      </c>
      <c r="H160" s="54">
        <f t="shared" ref="H160:J160" si="42">G160</f>
        <v>0</v>
      </c>
      <c r="I160" s="54">
        <f t="shared" si="42"/>
        <v>0</v>
      </c>
      <c r="J160" s="54">
        <f t="shared" si="42"/>
        <v>0</v>
      </c>
      <c r="K160" s="833"/>
    </row>
    <row r="161" spans="2:11">
      <c r="B161" s="627" t="s">
        <v>799</v>
      </c>
      <c r="C161" s="54">
        <f>'Historical Financials'!C190</f>
        <v>0</v>
      </c>
      <c r="D161" s="54">
        <f>'Historical Financials'!D190</f>
        <v>0</v>
      </c>
      <c r="E161" s="54">
        <f>'Historical Financials'!E190</f>
        <v>0</v>
      </c>
      <c r="F161" s="54">
        <f>'Historical Financials'!F190</f>
        <v>50</v>
      </c>
      <c r="G161" s="54">
        <f>Assumptions!E219</f>
        <v>50</v>
      </c>
      <c r="H161" s="54">
        <f>Assumptions!F219</f>
        <v>0</v>
      </c>
      <c r="I161" s="54">
        <f>Assumptions!G219</f>
        <v>0</v>
      </c>
      <c r="J161" s="54">
        <f>Assumptions!H219</f>
        <v>0</v>
      </c>
      <c r="K161" s="833"/>
    </row>
    <row r="162" spans="2:11">
      <c r="B162" s="627" t="s">
        <v>800</v>
      </c>
      <c r="C162" s="54">
        <f>'Historical Financials'!C191</f>
        <v>-385</v>
      </c>
      <c r="D162" s="54">
        <f>'Historical Financials'!D191</f>
        <v>-750</v>
      </c>
      <c r="E162" s="54">
        <f>'Historical Financials'!E191</f>
        <v>0</v>
      </c>
      <c r="F162" s="54">
        <f>'Historical Financials'!F191</f>
        <v>0</v>
      </c>
      <c r="G162" s="54">
        <f>F162</f>
        <v>0</v>
      </c>
      <c r="H162" s="54">
        <f t="shared" ref="H162:J162" si="43">G162</f>
        <v>0</v>
      </c>
      <c r="I162" s="54">
        <f t="shared" si="43"/>
        <v>0</v>
      </c>
      <c r="J162" s="54">
        <f t="shared" si="43"/>
        <v>0</v>
      </c>
      <c r="K162" s="833"/>
    </row>
    <row r="163" spans="2:11">
      <c r="B163" s="627" t="s">
        <v>285</v>
      </c>
      <c r="C163" s="54">
        <f>'Historical Financials'!C192</f>
        <v>103</v>
      </c>
      <c r="D163" s="54">
        <f>'Historical Financials'!D192</f>
        <v>490</v>
      </c>
      <c r="E163" s="54">
        <f>'Historical Financials'!E192</f>
        <v>618</v>
      </c>
      <c r="F163" s="54">
        <f>'Historical Financials'!F192</f>
        <v>819</v>
      </c>
      <c r="G163" s="54">
        <f>Assumptions!E220</f>
        <v>805</v>
      </c>
      <c r="H163" s="54">
        <f>Assumptions!F220</f>
        <v>770</v>
      </c>
      <c r="I163" s="54">
        <f>Assumptions!G220</f>
        <v>665</v>
      </c>
      <c r="J163" s="54">
        <f>Assumptions!H220</f>
        <v>595</v>
      </c>
      <c r="K163" s="833"/>
    </row>
    <row r="164" spans="2:11">
      <c r="B164" s="232" t="s">
        <v>801</v>
      </c>
      <c r="C164" s="233">
        <f>'Historical Financials'!C193</f>
        <v>-7938</v>
      </c>
      <c r="D164" s="233">
        <f>'Historical Financials'!D193</f>
        <v>457</v>
      </c>
      <c r="E164" s="233">
        <f>'Historical Financials'!E193</f>
        <v>-347</v>
      </c>
      <c r="F164" s="233">
        <f>'Historical Financials'!F193</f>
        <v>-7993</v>
      </c>
      <c r="G164" s="233">
        <f>SUM(G149:G163)</f>
        <v>-436</v>
      </c>
      <c r="H164" s="233">
        <f t="shared" ref="H164:J164" si="44">SUM(H149:H163)</f>
        <v>-1138</v>
      </c>
      <c r="I164" s="233">
        <f t="shared" si="44"/>
        <v>-1897</v>
      </c>
      <c r="J164" s="233">
        <f t="shared" si="44"/>
        <v>-1727</v>
      </c>
      <c r="K164" s="833"/>
    </row>
    <row r="165" spans="2:11">
      <c r="B165" s="53"/>
      <c r="C165" s="69"/>
      <c r="D165" s="69"/>
      <c r="E165" s="69"/>
      <c r="F165" s="69"/>
      <c r="G165" s="69"/>
      <c r="H165" s="69"/>
      <c r="I165" s="69"/>
      <c r="J165" s="69"/>
      <c r="K165" s="833"/>
    </row>
    <row r="166" spans="2:11">
      <c r="B166" s="596" t="s">
        <v>802</v>
      </c>
      <c r="C166" s="69"/>
      <c r="D166" s="69"/>
      <c r="E166" s="69"/>
      <c r="F166" s="69"/>
      <c r="G166" s="69"/>
      <c r="H166" s="69"/>
      <c r="I166" s="69"/>
      <c r="J166" s="69"/>
      <c r="K166" s="833"/>
    </row>
    <row r="167" spans="2:11" ht="25.5">
      <c r="B167" s="627" t="s">
        <v>803</v>
      </c>
      <c r="C167" s="54">
        <f>'Historical Financials'!C196</f>
        <v>9000</v>
      </c>
      <c r="D167" s="54">
        <f>'Historical Financials'!D196</f>
        <v>4</v>
      </c>
      <c r="E167" s="54">
        <f>'Historical Financials'!E196</f>
        <v>23</v>
      </c>
      <c r="F167" s="54">
        <f>'Historical Financials'!F196</f>
        <v>8501</v>
      </c>
      <c r="G167" s="54">
        <v>0</v>
      </c>
      <c r="H167" s="54">
        <v>0</v>
      </c>
      <c r="I167" s="54">
        <v>0</v>
      </c>
      <c r="J167" s="54">
        <v>0</v>
      </c>
      <c r="K167" s="833"/>
    </row>
    <row r="168" spans="2:11">
      <c r="B168" s="627" t="s">
        <v>804</v>
      </c>
      <c r="C168" s="54">
        <f>'Historical Financials'!C197</f>
        <v>-226</v>
      </c>
      <c r="D168" s="54">
        <f>'Historical Financials'!D197</f>
        <v>0</v>
      </c>
      <c r="E168" s="54">
        <f>'Historical Financials'!E197</f>
        <v>-1</v>
      </c>
      <c r="F168" s="54">
        <f>'Historical Financials'!F197</f>
        <v>-54</v>
      </c>
      <c r="G168" s="54">
        <v>0</v>
      </c>
      <c r="H168" s="54">
        <v>0</v>
      </c>
      <c r="I168" s="54">
        <v>0</v>
      </c>
      <c r="J168" s="54">
        <v>0</v>
      </c>
      <c r="K168" s="833"/>
    </row>
    <row r="169" spans="2:11">
      <c r="B169" s="627" t="s">
        <v>805</v>
      </c>
      <c r="C169" s="54">
        <f>'Historical Financials'!C198</f>
        <v>-160</v>
      </c>
      <c r="D169" s="54">
        <f>'Historical Financials'!D198</f>
        <v>-23</v>
      </c>
      <c r="E169" s="54">
        <f>'Historical Financials'!E198</f>
        <v>-40</v>
      </c>
      <c r="F169" s="54">
        <f>'Historical Financials'!F198</f>
        <v>0</v>
      </c>
      <c r="G169" s="54">
        <v>0</v>
      </c>
      <c r="H169" s="54">
        <v>0</v>
      </c>
      <c r="I169" s="54">
        <v>0</v>
      </c>
      <c r="J169" s="54">
        <v>0</v>
      </c>
      <c r="K169" s="833"/>
    </row>
    <row r="170" spans="2:11">
      <c r="B170" s="627" t="s">
        <v>806</v>
      </c>
      <c r="C170" s="54">
        <f>'Historical Financials'!C199</f>
        <v>8</v>
      </c>
      <c r="D170" s="54">
        <f>'Historical Financials'!D199</f>
        <v>7</v>
      </c>
      <c r="E170" s="54">
        <f>'Historical Financials'!E199</f>
        <v>9</v>
      </c>
      <c r="F170" s="54">
        <f>'Historical Financials'!F199</f>
        <v>4</v>
      </c>
      <c r="G170" s="54">
        <f>Assumptions!E224</f>
        <v>4</v>
      </c>
      <c r="H170" s="54">
        <f>Assumptions!F224</f>
        <v>4</v>
      </c>
      <c r="I170" s="54">
        <f>Assumptions!G224</f>
        <v>4</v>
      </c>
      <c r="J170" s="54">
        <f>Assumptions!H224</f>
        <v>4</v>
      </c>
      <c r="K170" s="833"/>
    </row>
    <row r="171" spans="2:11">
      <c r="B171" s="627" t="s">
        <v>807</v>
      </c>
      <c r="C171" s="54">
        <f>'Historical Financials'!C200</f>
        <v>-20</v>
      </c>
      <c r="D171" s="54">
        <f>'Historical Financials'!D200</f>
        <v>-65</v>
      </c>
      <c r="E171" s="54">
        <f>'Historical Financials'!E200</f>
        <v>-129</v>
      </c>
      <c r="F171" s="54">
        <f>'Historical Financials'!F200</f>
        <v>-258</v>
      </c>
      <c r="G171" s="231">
        <f>-ROUND(Assumptions!E140*0.13,0)</f>
        <v>-403</v>
      </c>
      <c r="H171" s="231">
        <f>-ROUND(Assumptions!F140*0.13,0)</f>
        <v>-546</v>
      </c>
      <c r="I171" s="231">
        <f>-ROUND(Assumptions!G140*0.13,0)</f>
        <v>-637</v>
      </c>
      <c r="J171" s="231">
        <f>-ROUND(Assumptions!H140*0.13,0)</f>
        <v>-676</v>
      </c>
      <c r="K171" s="833"/>
    </row>
    <row r="172" spans="2:11">
      <c r="B172" s="627" t="s">
        <v>293</v>
      </c>
      <c r="C172" s="54">
        <f>'Historical Financials'!C201</f>
        <v>-10</v>
      </c>
      <c r="D172" s="54">
        <f>'Historical Financials'!D201</f>
        <v>-41</v>
      </c>
      <c r="E172" s="54">
        <f>'Historical Financials'!E201</f>
        <v>-67</v>
      </c>
      <c r="F172" s="54">
        <f>'Historical Financials'!F201</f>
        <v>-147</v>
      </c>
      <c r="G172" s="54">
        <f>-G42</f>
        <v>-264</v>
      </c>
      <c r="H172" s="54">
        <f t="shared" ref="H172:J172" si="45">-H42</f>
        <v>-357</v>
      </c>
      <c r="I172" s="54">
        <f t="shared" si="45"/>
        <v>-417</v>
      </c>
      <c r="J172" s="54">
        <f t="shared" si="45"/>
        <v>-442</v>
      </c>
      <c r="K172" s="833"/>
    </row>
    <row r="173" spans="2:11">
      <c r="B173" s="627" t="s">
        <v>808</v>
      </c>
      <c r="C173" s="54">
        <f>'Historical Financials'!C202</f>
        <v>-1</v>
      </c>
      <c r="D173" s="54">
        <f>'Historical Financials'!D202</f>
        <v>-9</v>
      </c>
      <c r="E173" s="54">
        <f>'Historical Financials'!E202</f>
        <v>-2</v>
      </c>
      <c r="F173" s="54">
        <f>'Historical Financials'!F202</f>
        <v>-4</v>
      </c>
      <c r="G173" s="54">
        <v>-5</v>
      </c>
      <c r="H173" s="54">
        <v>-5</v>
      </c>
      <c r="I173" s="54">
        <v>-5</v>
      </c>
      <c r="J173" s="54">
        <v>-5</v>
      </c>
      <c r="K173" s="833"/>
    </row>
    <row r="174" spans="2:11">
      <c r="B174" s="232" t="s">
        <v>809</v>
      </c>
      <c r="C174" s="239">
        <f>'Historical Financials'!C203</f>
        <v>8591</v>
      </c>
      <c r="D174" s="239">
        <f>'Historical Financials'!D203</f>
        <v>-127</v>
      </c>
      <c r="E174" s="239">
        <f>'Historical Financials'!E203</f>
        <v>-207</v>
      </c>
      <c r="F174" s="239">
        <f>'Historical Financials'!F203</f>
        <v>8042</v>
      </c>
      <c r="G174" s="233">
        <f>SUM(G167:G173)</f>
        <v>-668</v>
      </c>
      <c r="H174" s="233">
        <f t="shared" ref="H174:J174" si="46">SUM(H167:H173)</f>
        <v>-904</v>
      </c>
      <c r="I174" s="233">
        <f t="shared" si="46"/>
        <v>-1055</v>
      </c>
      <c r="J174" s="233">
        <f t="shared" si="46"/>
        <v>-1119</v>
      </c>
      <c r="K174" s="833"/>
    </row>
    <row r="175" spans="2:11">
      <c r="B175" s="53"/>
      <c r="C175" s="69"/>
      <c r="D175" s="69"/>
      <c r="E175" s="69"/>
      <c r="F175" s="69"/>
      <c r="G175" s="69"/>
      <c r="H175" s="69"/>
      <c r="I175" s="69"/>
      <c r="J175" s="69"/>
      <c r="K175" s="833"/>
    </row>
    <row r="176" spans="2:11">
      <c r="B176" s="596" t="s">
        <v>810</v>
      </c>
      <c r="C176" s="69"/>
      <c r="D176" s="69"/>
      <c r="E176" s="69"/>
      <c r="F176" s="69"/>
      <c r="G176" s="69"/>
      <c r="H176" s="69"/>
      <c r="I176" s="69"/>
      <c r="J176" s="69"/>
      <c r="K176" s="833"/>
    </row>
    <row r="177" spans="2:11">
      <c r="B177" s="627" t="s">
        <v>811</v>
      </c>
      <c r="C177" s="54">
        <f>C146+C164+C174</f>
        <v>119</v>
      </c>
      <c r="D177" s="54">
        <f t="shared" ref="D177:J177" si="47">D146+D164+D174</f>
        <v>-514</v>
      </c>
      <c r="E177" s="54">
        <f t="shared" si="47"/>
        <v>92</v>
      </c>
      <c r="F177" s="54">
        <f t="shared" si="47"/>
        <v>357</v>
      </c>
      <c r="G177" s="54">
        <f t="shared" si="47"/>
        <v>-637.14852400000063</v>
      </c>
      <c r="H177" s="54">
        <f t="shared" si="47"/>
        <v>343.04905560000043</v>
      </c>
      <c r="I177" s="54">
        <f t="shared" si="47"/>
        <v>1448.8646311192006</v>
      </c>
      <c r="J177" s="54">
        <f t="shared" si="47"/>
        <v>3269.7513410675037</v>
      </c>
      <c r="K177" s="833"/>
    </row>
    <row r="178" spans="2:11" ht="25.5">
      <c r="B178" s="627" t="s">
        <v>812</v>
      </c>
      <c r="C178" s="240">
        <f>SUM('Historical Financials'!C207:C209)</f>
        <v>-39</v>
      </c>
      <c r="D178" s="630">
        <f>SUM('Historical Financials'!D207:D209)</f>
        <v>340</v>
      </c>
      <c r="E178" s="630">
        <f>SUM('Historical Financials'!E207:E209)</f>
        <v>-1</v>
      </c>
      <c r="F178" s="54">
        <v>0</v>
      </c>
      <c r="G178" s="54">
        <v>0</v>
      </c>
      <c r="H178" s="54">
        <v>0</v>
      </c>
      <c r="I178" s="54">
        <v>0</v>
      </c>
      <c r="J178" s="54">
        <v>0</v>
      </c>
      <c r="K178" s="833"/>
    </row>
    <row r="179" spans="2:11">
      <c r="B179" s="627" t="s">
        <v>813</v>
      </c>
      <c r="C179" s="241">
        <v>312</v>
      </c>
      <c r="D179" s="54">
        <f>C76</f>
        <v>392</v>
      </c>
      <c r="E179" s="54">
        <f t="shared" ref="E179:J179" si="48">D76</f>
        <v>218</v>
      </c>
      <c r="F179" s="54">
        <f t="shared" si="48"/>
        <v>309</v>
      </c>
      <c r="G179" s="54">
        <f>F76</f>
        <v>666</v>
      </c>
      <c r="H179" s="54">
        <f t="shared" si="48"/>
        <v>28.851475999999366</v>
      </c>
      <c r="I179" s="54">
        <f>H76</f>
        <v>371.90053159999979</v>
      </c>
      <c r="J179" s="54">
        <f t="shared" si="48"/>
        <v>1820.7651627192004</v>
      </c>
      <c r="K179" s="833"/>
    </row>
    <row r="180" spans="2:11">
      <c r="B180" s="232" t="s">
        <v>814</v>
      </c>
      <c r="C180" s="233">
        <f>SUM(C177:C179)</f>
        <v>392</v>
      </c>
      <c r="D180" s="233">
        <f t="shared" ref="D180:J180" si="49">SUM(D177:D179)</f>
        <v>218</v>
      </c>
      <c r="E180" s="233">
        <f t="shared" si="49"/>
        <v>309</v>
      </c>
      <c r="F180" s="233">
        <f t="shared" si="49"/>
        <v>666</v>
      </c>
      <c r="G180" s="233">
        <f t="shared" si="49"/>
        <v>28.851475999999366</v>
      </c>
      <c r="H180" s="233">
        <f t="shared" si="49"/>
        <v>371.90053159999979</v>
      </c>
      <c r="I180" s="233">
        <f t="shared" si="49"/>
        <v>1820.7651627192004</v>
      </c>
      <c r="J180" s="233">
        <f t="shared" si="49"/>
        <v>5090.5165037867046</v>
      </c>
      <c r="K180" s="833"/>
    </row>
    <row r="181" spans="2:11">
      <c r="B181" s="53"/>
      <c r="C181" s="71"/>
      <c r="D181" s="71"/>
      <c r="E181" s="71"/>
      <c r="F181" s="71"/>
      <c r="G181" s="71"/>
      <c r="H181" s="71"/>
      <c r="I181" s="71"/>
      <c r="J181" s="71"/>
      <c r="K181" s="833"/>
    </row>
    <row r="182" spans="2:11" s="3" customFormat="1">
      <c r="B182" s="242" t="s">
        <v>815</v>
      </c>
      <c r="C182" s="243">
        <v>0</v>
      </c>
      <c r="D182" s="243">
        <v>0</v>
      </c>
      <c r="E182" s="243">
        <v>0</v>
      </c>
      <c r="F182" s="243">
        <v>0</v>
      </c>
      <c r="G182" s="243">
        <v>0</v>
      </c>
      <c r="H182" s="243">
        <v>0</v>
      </c>
      <c r="I182" s="243">
        <v>0</v>
      </c>
      <c r="J182" s="243">
        <v>0</v>
      </c>
      <c r="K182" s="30"/>
    </row>
    <row r="183" spans="2:11">
      <c r="B183" s="53"/>
      <c r="C183" s="71"/>
      <c r="D183" s="71"/>
      <c r="E183" s="71"/>
      <c r="F183" s="71"/>
      <c r="G183" s="71"/>
      <c r="H183" s="71"/>
      <c r="I183" s="71"/>
      <c r="J183" s="71"/>
      <c r="K183" s="833"/>
    </row>
    <row r="184" spans="2:11">
      <c r="B184" s="53"/>
      <c r="C184" s="71"/>
      <c r="D184" s="71"/>
      <c r="E184" s="71"/>
      <c r="F184" s="71"/>
      <c r="G184" s="71"/>
      <c r="H184" s="71"/>
      <c r="I184" s="71"/>
      <c r="J184" s="71"/>
      <c r="K184" s="833"/>
    </row>
    <row r="185" spans="2:11">
      <c r="B185" s="593" t="s">
        <v>816</v>
      </c>
      <c r="C185" s="244"/>
      <c r="D185" s="244"/>
      <c r="E185" s="244"/>
      <c r="F185" s="244"/>
      <c r="G185" s="245"/>
      <c r="H185" s="245"/>
      <c r="I185" s="245"/>
      <c r="J185" s="245"/>
      <c r="K185" s="833"/>
    </row>
    <row r="186" spans="2:11" ht="39">
      <c r="B186" s="246" t="s">
        <v>817</v>
      </c>
      <c r="C186" s="71"/>
      <c r="D186" s="71"/>
      <c r="E186" s="71"/>
      <c r="F186" s="71"/>
      <c r="G186" s="71"/>
      <c r="H186" s="71"/>
      <c r="I186" s="71"/>
      <c r="J186" s="71"/>
      <c r="K186" s="833"/>
    </row>
    <row r="187" spans="2:11">
      <c r="B187" s="627" t="s">
        <v>178</v>
      </c>
      <c r="C187" s="247" t="s">
        <v>818</v>
      </c>
      <c r="D187" s="247" t="s">
        <v>818</v>
      </c>
      <c r="E187" s="247" t="s">
        <v>818</v>
      </c>
      <c r="F187" s="247" t="s">
        <v>818</v>
      </c>
      <c r="G187" s="92">
        <f>G38</f>
        <v>1144.8514759999994</v>
      </c>
      <c r="H187" s="92">
        <f t="shared" ref="H187:J187" si="50">H38</f>
        <v>2373.0490556</v>
      </c>
      <c r="I187" s="92">
        <f t="shared" si="50"/>
        <v>4939.8646311192006</v>
      </c>
      <c r="J187" s="92">
        <f t="shared" si="50"/>
        <v>7667.7513410675037</v>
      </c>
      <c r="K187" s="833"/>
    </row>
    <row r="188" spans="2:11">
      <c r="B188" s="627" t="s">
        <v>819</v>
      </c>
      <c r="C188" s="247" t="s">
        <v>818</v>
      </c>
      <c r="D188" s="247" t="s">
        <v>818</v>
      </c>
      <c r="E188" s="247" t="s">
        <v>818</v>
      </c>
      <c r="F188" s="247" t="s">
        <v>818</v>
      </c>
      <c r="G188" s="102">
        <f>Assumptions!E123</f>
        <v>0.22</v>
      </c>
      <c r="H188" s="102">
        <f>Assumptions!F123</f>
        <v>0.22</v>
      </c>
      <c r="I188" s="102">
        <f>Assumptions!G123</f>
        <v>0.25</v>
      </c>
      <c r="J188" s="102">
        <f>Assumptions!H123</f>
        <v>0.25</v>
      </c>
      <c r="K188" s="833"/>
    </row>
    <row r="189" spans="2:11">
      <c r="B189" s="627" t="s">
        <v>820</v>
      </c>
      <c r="C189" s="247" t="s">
        <v>818</v>
      </c>
      <c r="D189" s="247" t="s">
        <v>818</v>
      </c>
      <c r="E189" s="247" t="s">
        <v>818</v>
      </c>
      <c r="F189" s="247" t="s">
        <v>818</v>
      </c>
      <c r="G189" s="88">
        <f>G187*(1-G188)</f>
        <v>892.98415127999954</v>
      </c>
      <c r="H189" s="88">
        <f t="shared" ref="H189:J189" si="51">H187*(1-H188)</f>
        <v>1850.9782633679999</v>
      </c>
      <c r="I189" s="88">
        <f t="shared" si="51"/>
        <v>3704.8984733394004</v>
      </c>
      <c r="J189" s="88">
        <f t="shared" si="51"/>
        <v>5750.8135058006283</v>
      </c>
      <c r="K189" s="833"/>
    </row>
    <row r="190" spans="2:11">
      <c r="B190" s="627" t="s">
        <v>821</v>
      </c>
      <c r="C190" s="247" t="s">
        <v>818</v>
      </c>
      <c r="D190" s="247" t="s">
        <v>818</v>
      </c>
      <c r="E190" s="247" t="s">
        <v>818</v>
      </c>
      <c r="F190" s="247" t="s">
        <v>818</v>
      </c>
      <c r="G190" s="88">
        <f>G36</f>
        <v>1130</v>
      </c>
      <c r="H190" s="88">
        <f t="shared" ref="H190:J190" si="52">H36</f>
        <v>1380</v>
      </c>
      <c r="I190" s="88">
        <f t="shared" si="52"/>
        <v>1590</v>
      </c>
      <c r="J190" s="88">
        <f t="shared" si="52"/>
        <v>1740</v>
      </c>
      <c r="K190" s="833"/>
    </row>
    <row r="191" spans="2:11">
      <c r="B191" s="627" t="s">
        <v>822</v>
      </c>
      <c r="C191" s="247" t="s">
        <v>818</v>
      </c>
      <c r="D191" s="247" t="s">
        <v>818</v>
      </c>
      <c r="E191" s="247" t="s">
        <v>818</v>
      </c>
      <c r="F191" s="247" t="s">
        <v>818</v>
      </c>
      <c r="G191" s="248">
        <v>-1100</v>
      </c>
      <c r="H191" s="248">
        <v>-1450</v>
      </c>
      <c r="I191" s="248">
        <v>-1300</v>
      </c>
      <c r="J191" s="248">
        <v>-1000</v>
      </c>
      <c r="K191" s="833"/>
    </row>
    <row r="192" spans="2:11">
      <c r="B192" s="627" t="s">
        <v>823</v>
      </c>
      <c r="C192" s="247" t="s">
        <v>818</v>
      </c>
      <c r="D192" s="247" t="s">
        <v>818</v>
      </c>
      <c r="E192" s="247" t="s">
        <v>818</v>
      </c>
      <c r="F192" s="247" t="s">
        <v>818</v>
      </c>
      <c r="G192" s="248">
        <v>-1200</v>
      </c>
      <c r="H192" s="248">
        <v>-1400</v>
      </c>
      <c r="I192" s="248">
        <v>-900</v>
      </c>
      <c r="J192" s="248">
        <v>-500</v>
      </c>
      <c r="K192" s="833"/>
    </row>
    <row r="193" spans="2:11" ht="25.5">
      <c r="B193" s="232" t="s">
        <v>824</v>
      </c>
      <c r="C193" s="249" t="s">
        <v>818</v>
      </c>
      <c r="D193" s="249" t="s">
        <v>818</v>
      </c>
      <c r="E193" s="249" t="s">
        <v>818</v>
      </c>
      <c r="F193" s="249" t="s">
        <v>818</v>
      </c>
      <c r="G193" s="250">
        <f>SUM(G189:G192)</f>
        <v>-277.01584872000058</v>
      </c>
      <c r="H193" s="250">
        <f t="shared" ref="H193:J193" si="53">SUM(H189:H192)</f>
        <v>380.97826336799972</v>
      </c>
      <c r="I193" s="250">
        <f t="shared" si="53"/>
        <v>3094.8984733394009</v>
      </c>
      <c r="J193" s="250">
        <f t="shared" si="53"/>
        <v>5990.8135058006283</v>
      </c>
      <c r="K193" s="833"/>
    </row>
    <row r="194" spans="2:11">
      <c r="K194" s="833"/>
    </row>
    <row r="195" spans="2:11">
      <c r="K195" s="833"/>
    </row>
    <row r="196" spans="2:11">
      <c r="K196" s="833"/>
    </row>
    <row r="197" spans="2:11">
      <c r="K197" s="833"/>
    </row>
    <row r="198" spans="2:11">
      <c r="K198" s="833"/>
    </row>
    <row r="199" spans="2:11">
      <c r="K199" s="833"/>
    </row>
    <row r="200" spans="2:11">
      <c r="K200" s="833"/>
    </row>
    <row r="201" spans="2:11">
      <c r="K201" s="833"/>
    </row>
    <row r="202" spans="2:11">
      <c r="K202" s="833"/>
    </row>
    <row r="203" spans="2:11">
      <c r="K203" s="833"/>
    </row>
    <row r="204" spans="2:11">
      <c r="K204" s="833"/>
    </row>
    <row r="205" spans="2:11">
      <c r="K205" s="833"/>
    </row>
    <row r="206" spans="2:11">
      <c r="K206" s="833"/>
    </row>
    <row r="207" spans="2:11">
      <c r="K207" s="833"/>
    </row>
    <row r="208" spans="2:11">
      <c r="K208" s="833"/>
    </row>
    <row r="209" spans="11:11">
      <c r="K209" s="833"/>
    </row>
    <row r="210" spans="11:11">
      <c r="K210" s="833"/>
    </row>
    <row r="211" spans="11:11">
      <c r="K211" s="833"/>
    </row>
    <row r="212" spans="11:11">
      <c r="K212" s="833"/>
    </row>
    <row r="213" spans="11:11">
      <c r="K213" s="833"/>
    </row>
    <row r="214" spans="11:11">
      <c r="K214" s="833"/>
    </row>
    <row r="215" spans="11:11">
      <c r="K215" s="833"/>
    </row>
    <row r="216" spans="11:11">
      <c r="K216" s="833"/>
    </row>
    <row r="217" spans="11:11">
      <c r="K217" s="833"/>
    </row>
    <row r="218" spans="11:11">
      <c r="K218" s="833"/>
    </row>
    <row r="219" spans="11:11">
      <c r="K219" s="833"/>
    </row>
    <row r="220" spans="11:11">
      <c r="K220" s="833"/>
    </row>
    <row r="221" spans="11:11">
      <c r="K221" s="833"/>
    </row>
    <row r="222" spans="11:11">
      <c r="K222" s="833"/>
    </row>
    <row r="223" spans="11:11">
      <c r="K223" s="833"/>
    </row>
    <row r="224" spans="11:11">
      <c r="K224" s="833"/>
    </row>
    <row r="225" spans="11:11">
      <c r="K225" s="833"/>
    </row>
    <row r="226" spans="11:11">
      <c r="K226" s="833"/>
    </row>
    <row r="227" spans="11:11">
      <c r="K227" s="833"/>
    </row>
    <row r="228" spans="11:11">
      <c r="K228" s="833"/>
    </row>
    <row r="229" spans="11:11">
      <c r="K229" s="833"/>
    </row>
    <row r="230" spans="11:11">
      <c r="K230" s="833"/>
    </row>
    <row r="231" spans="11:11">
      <c r="K231" s="833"/>
    </row>
    <row r="232" spans="11:11">
      <c r="K232" s="833"/>
    </row>
    <row r="233" spans="11:11">
      <c r="K233" s="833"/>
    </row>
    <row r="234" spans="11:11">
      <c r="K234" s="833"/>
    </row>
    <row r="235" spans="11:11">
      <c r="K235" s="833"/>
    </row>
    <row r="236" spans="11:11">
      <c r="K236" s="833"/>
    </row>
    <row r="237" spans="11:11">
      <c r="K237" s="833"/>
    </row>
    <row r="238" spans="11:11">
      <c r="K238" s="833"/>
    </row>
    <row r="239" spans="11:11">
      <c r="K239" s="833"/>
    </row>
    <row r="240" spans="11:11">
      <c r="K240" s="833"/>
    </row>
    <row r="241" spans="11:11">
      <c r="K241" s="833"/>
    </row>
    <row r="242" spans="11:11">
      <c r="K242" s="833"/>
    </row>
    <row r="243" spans="11:11">
      <c r="K243" s="833"/>
    </row>
    <row r="244" spans="11:11">
      <c r="K244" s="833"/>
    </row>
    <row r="245" spans="11:11">
      <c r="K245" s="833"/>
    </row>
    <row r="246" spans="11:11">
      <c r="K246" s="833"/>
    </row>
    <row r="247" spans="11:11">
      <c r="K247" s="833"/>
    </row>
    <row r="248" spans="11:11">
      <c r="K248" s="833"/>
    </row>
    <row r="249" spans="11:11">
      <c r="K249" s="833"/>
    </row>
    <row r="250" spans="11:11">
      <c r="K250" s="833"/>
    </row>
    <row r="251" spans="11:11">
      <c r="K251" s="833"/>
    </row>
    <row r="252" spans="11:11">
      <c r="K252" s="833"/>
    </row>
    <row r="253" spans="11:11">
      <c r="K253" s="833"/>
    </row>
    <row r="254" spans="11:11">
      <c r="K254" s="833"/>
    </row>
    <row r="255" spans="11:11">
      <c r="K255" s="833"/>
    </row>
    <row r="256" spans="11:11">
      <c r="K256" s="833"/>
    </row>
    <row r="257" spans="11:11">
      <c r="K257" s="833"/>
    </row>
    <row r="258" spans="11:11">
      <c r="K258" s="833"/>
    </row>
    <row r="259" spans="11:11">
      <c r="K259" s="833"/>
    </row>
    <row r="260" spans="11:11">
      <c r="K260" s="833"/>
    </row>
    <row r="261" spans="11:11">
      <c r="K261" s="833"/>
    </row>
    <row r="262" spans="11:11">
      <c r="K262" s="833"/>
    </row>
    <row r="263" spans="11:11">
      <c r="K263" s="833"/>
    </row>
    <row r="264" spans="11:11">
      <c r="K264" s="833"/>
    </row>
    <row r="265" spans="11:11">
      <c r="K265" s="833"/>
    </row>
    <row r="266" spans="11:11">
      <c r="K266" s="833"/>
    </row>
    <row r="267" spans="11:11">
      <c r="K267" s="833"/>
    </row>
    <row r="268" spans="11:11">
      <c r="K268" s="833"/>
    </row>
    <row r="269" spans="11:11">
      <c r="K269" s="833"/>
    </row>
    <row r="270" spans="11:11">
      <c r="K270" s="833"/>
    </row>
    <row r="271" spans="11:11">
      <c r="K271" s="833"/>
    </row>
    <row r="272" spans="11:11">
      <c r="K272" s="833"/>
    </row>
    <row r="273" spans="11:11">
      <c r="K273" s="833"/>
    </row>
    <row r="274" spans="11:11">
      <c r="K274" s="833"/>
    </row>
    <row r="275" spans="11:11">
      <c r="K275" s="833"/>
    </row>
    <row r="276" spans="11:11">
      <c r="K276" s="833"/>
    </row>
    <row r="277" spans="11:11">
      <c r="K277" s="833"/>
    </row>
    <row r="278" spans="11:11">
      <c r="K278" s="833"/>
    </row>
    <row r="279" spans="11:11">
      <c r="K279" s="833"/>
    </row>
    <row r="280" spans="11:11">
      <c r="K280" s="833"/>
    </row>
    <row r="281" spans="11:11">
      <c r="K281" s="833"/>
    </row>
    <row r="282" spans="11:11">
      <c r="K282" s="833"/>
    </row>
    <row r="283" spans="11:11">
      <c r="K283" s="833"/>
    </row>
    <row r="284" spans="11:11">
      <c r="K284" s="833"/>
    </row>
    <row r="285" spans="11:11">
      <c r="K285" s="833"/>
    </row>
    <row r="286" spans="11:11">
      <c r="K286" s="833"/>
    </row>
    <row r="287" spans="11:11">
      <c r="K287" s="833"/>
    </row>
    <row r="288" spans="11:11">
      <c r="K288" s="833"/>
    </row>
    <row r="289" spans="11:11">
      <c r="K289" s="833"/>
    </row>
    <row r="290" spans="11:11">
      <c r="K290" s="833"/>
    </row>
    <row r="291" spans="11:11">
      <c r="K291" s="833"/>
    </row>
    <row r="292" spans="11:11">
      <c r="K292" s="833"/>
    </row>
    <row r="293" spans="11:11">
      <c r="K293" s="833"/>
    </row>
    <row r="294" spans="11:11">
      <c r="K294" s="833"/>
    </row>
    <row r="295" spans="11:11">
      <c r="K295" s="833"/>
    </row>
    <row r="296" spans="11:11">
      <c r="K296" s="833"/>
    </row>
    <row r="297" spans="11:11">
      <c r="K297" s="833"/>
    </row>
    <row r="298" spans="11:11">
      <c r="K298" s="833"/>
    </row>
    <row r="299" spans="11:11">
      <c r="K299" s="833"/>
    </row>
    <row r="300" spans="11:11">
      <c r="K300" s="833"/>
    </row>
    <row r="301" spans="11:11">
      <c r="K301" s="833"/>
    </row>
    <row r="302" spans="11:11">
      <c r="K302" s="833"/>
    </row>
    <row r="303" spans="11:11">
      <c r="K303" s="833"/>
    </row>
    <row r="304" spans="11:11">
      <c r="K304" s="833"/>
    </row>
    <row r="305" spans="11:11">
      <c r="K305" s="833"/>
    </row>
    <row r="306" spans="11:11">
      <c r="K306" s="833"/>
    </row>
    <row r="307" spans="11:11">
      <c r="K307" s="833"/>
    </row>
    <row r="308" spans="11:11">
      <c r="K308" s="833"/>
    </row>
    <row r="309" spans="11:11">
      <c r="K309" s="833"/>
    </row>
    <row r="310" spans="11:11">
      <c r="K310" s="833"/>
    </row>
    <row r="311" spans="11:11">
      <c r="K311" s="833"/>
    </row>
    <row r="312" spans="11:11">
      <c r="K312" s="833"/>
    </row>
    <row r="313" spans="11:11">
      <c r="K313" s="833"/>
    </row>
    <row r="314" spans="11:11">
      <c r="K314" s="833"/>
    </row>
    <row r="315" spans="11:11">
      <c r="K315" s="833"/>
    </row>
    <row r="316" spans="11:11">
      <c r="K316" s="833"/>
    </row>
    <row r="317" spans="11:11">
      <c r="K317" s="833"/>
    </row>
    <row r="318" spans="11:11">
      <c r="K318" s="833"/>
    </row>
    <row r="319" spans="11:11">
      <c r="K319" s="833"/>
    </row>
    <row r="320" spans="11:11">
      <c r="K320" s="833"/>
    </row>
    <row r="321" spans="11:11">
      <c r="K321" s="833"/>
    </row>
    <row r="322" spans="11:11">
      <c r="K322" s="833"/>
    </row>
    <row r="323" spans="11:11">
      <c r="K323" s="833"/>
    </row>
    <row r="324" spans="11:11">
      <c r="K324" s="833"/>
    </row>
    <row r="325" spans="11:11">
      <c r="K325" s="833"/>
    </row>
    <row r="326" spans="11:11">
      <c r="K326" s="833"/>
    </row>
    <row r="327" spans="11:11">
      <c r="K327" s="833"/>
    </row>
  </sheetData>
  <mergeCells count="3">
    <mergeCell ref="B5:J5"/>
    <mergeCell ref="B2:J2"/>
    <mergeCell ref="B59:J5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27653-CD24-4691-ADA3-4AEBA673FE45}">
  <sheetPr>
    <tabColor rgb="FF3B1F79"/>
  </sheetPr>
  <dimension ref="A2:J82"/>
  <sheetViews>
    <sheetView showGridLines="0" tabSelected="1" workbookViewId="0">
      <pane xSplit="1" topLeftCell="B1" activePane="topRight" state="frozen"/>
      <selection pane="topRight" activeCell="B14" sqref="B14:J14"/>
    </sheetView>
  </sheetViews>
  <sheetFormatPr defaultRowHeight="15"/>
  <cols>
    <col min="1" max="1" width="1.85546875" customWidth="1"/>
    <col min="2" max="2" width="28.140625" style="71" customWidth="1"/>
    <col min="3" max="5" width="11.7109375" style="71" customWidth="1"/>
    <col min="6" max="6" width="14.140625" style="71" customWidth="1"/>
    <col min="7" max="7" width="17.140625" style="71" customWidth="1"/>
    <col min="8" max="9" width="13.140625" style="71" customWidth="1"/>
    <col min="10" max="10" width="75" style="120" customWidth="1"/>
  </cols>
  <sheetData>
    <row r="2" spans="1:10" ht="15" customHeight="1">
      <c r="B2" s="758" t="s">
        <v>825</v>
      </c>
      <c r="C2" s="758"/>
      <c r="D2" s="758"/>
      <c r="E2" s="758"/>
      <c r="F2" s="758"/>
      <c r="G2" s="758"/>
      <c r="H2" s="758"/>
      <c r="I2" s="758"/>
      <c r="J2" s="758"/>
    </row>
    <row r="3" spans="1:10" ht="15" customHeight="1">
      <c r="B3" s="759" t="s">
        <v>826</v>
      </c>
      <c r="C3" s="759"/>
      <c r="D3" s="759"/>
      <c r="E3" s="759"/>
      <c r="F3" s="759"/>
      <c r="G3" s="759"/>
      <c r="H3" s="759"/>
      <c r="I3" s="759"/>
      <c r="J3" s="759"/>
    </row>
    <row r="4" spans="1:10">
      <c r="B4" s="754" t="s">
        <v>827</v>
      </c>
      <c r="C4" s="754"/>
      <c r="D4" s="754"/>
      <c r="E4" s="754"/>
      <c r="F4" s="754"/>
      <c r="G4" s="754"/>
      <c r="H4" s="754"/>
      <c r="I4" s="754"/>
      <c r="J4" s="754"/>
    </row>
    <row r="5" spans="1:10" s="1" customFormat="1">
      <c r="B5" s="152"/>
      <c r="C5" s="152"/>
      <c r="D5" s="152"/>
      <c r="E5" s="152"/>
      <c r="F5" s="152"/>
      <c r="G5" s="152"/>
      <c r="H5" s="152"/>
      <c r="I5" s="152"/>
      <c r="J5" s="74"/>
    </row>
    <row r="6" spans="1:10">
      <c r="A6" s="6"/>
      <c r="B6" s="121" t="s">
        <v>46</v>
      </c>
      <c r="C6" s="153" t="s">
        <v>828</v>
      </c>
      <c r="D6" s="154" t="s">
        <v>514</v>
      </c>
      <c r="E6" s="153" t="s">
        <v>829</v>
      </c>
      <c r="F6" s="750" t="s">
        <v>830</v>
      </c>
      <c r="G6" s="750"/>
      <c r="H6" s="750"/>
      <c r="I6" s="750"/>
    </row>
    <row r="7" spans="1:10">
      <c r="A7" s="7"/>
      <c r="B7" s="125" t="s">
        <v>831</v>
      </c>
      <c r="C7" s="157">
        <f>Assumptions!$F$145</f>
        <v>6.8000000000000005E-2</v>
      </c>
      <c r="D7" s="644">
        <f>Assumptions!$F$145</f>
        <v>6.8000000000000005E-2</v>
      </c>
      <c r="E7" s="157">
        <f>Assumptions!$F$145</f>
        <v>6.8000000000000005E-2</v>
      </c>
      <c r="F7" s="752" t="s">
        <v>832</v>
      </c>
      <c r="G7" s="752"/>
      <c r="H7" s="752"/>
      <c r="I7" s="752"/>
    </row>
    <row r="8" spans="1:10">
      <c r="A8" s="7"/>
      <c r="B8" s="125" t="s">
        <v>833</v>
      </c>
      <c r="C8" s="157">
        <f>Assumptions!$F$146</f>
        <v>5.5E-2</v>
      </c>
      <c r="D8" s="644">
        <f>Assumptions!$F$146</f>
        <v>5.5E-2</v>
      </c>
      <c r="E8" s="157">
        <f>Assumptions!$F$146</f>
        <v>5.5E-2</v>
      </c>
      <c r="F8" s="752" t="s">
        <v>834</v>
      </c>
      <c r="G8" s="752"/>
      <c r="H8" s="752"/>
      <c r="I8" s="752"/>
    </row>
    <row r="9" spans="1:10">
      <c r="A9" s="7"/>
      <c r="B9" s="125" t="s">
        <v>536</v>
      </c>
      <c r="C9" s="155">
        <v>1.2</v>
      </c>
      <c r="D9" s="642">
        <f>Assumptions!F147</f>
        <v>0.95</v>
      </c>
      <c r="E9" s="156">
        <v>0.75</v>
      </c>
      <c r="F9" s="752" t="s">
        <v>835</v>
      </c>
      <c r="G9" s="752"/>
      <c r="H9" s="752"/>
      <c r="I9" s="752"/>
    </row>
    <row r="10" spans="1:10">
      <c r="A10" s="7"/>
      <c r="B10" s="125" t="s">
        <v>836</v>
      </c>
      <c r="C10" s="157">
        <f>C7+C9*C8</f>
        <v>0.13400000000000001</v>
      </c>
      <c r="D10" s="157">
        <f t="shared" ref="D10:E10" si="0">D7+D9*D8</f>
        <v>0.12025</v>
      </c>
      <c r="E10" s="157">
        <f t="shared" si="0"/>
        <v>0.10925000000000001</v>
      </c>
      <c r="F10" s="752" t="s">
        <v>837</v>
      </c>
      <c r="G10" s="752"/>
      <c r="H10" s="752"/>
      <c r="I10" s="752"/>
    </row>
    <row r="11" spans="1:10">
      <c r="A11" s="7"/>
      <c r="B11" s="125" t="s">
        <v>838</v>
      </c>
      <c r="C11" s="157">
        <f>Assumptions!F150</f>
        <v>0.13950000000000001</v>
      </c>
      <c r="D11" s="644">
        <f>Assumptions!F149</f>
        <v>0.13125000000000001</v>
      </c>
      <c r="E11" s="157">
        <f>Assumptions!F151</f>
        <v>0.11750000000000001</v>
      </c>
      <c r="F11" s="752" t="s">
        <v>839</v>
      </c>
      <c r="G11" s="752"/>
      <c r="H11" s="752"/>
      <c r="I11" s="752"/>
    </row>
    <row r="12" spans="1:10">
      <c r="A12" s="7"/>
      <c r="B12" s="125" t="s">
        <v>103</v>
      </c>
      <c r="C12" s="157">
        <f>Assumptions!F153</f>
        <v>0.04</v>
      </c>
      <c r="D12" s="644">
        <f>Assumptions!F152</f>
        <v>4.4999999999999998E-2</v>
      </c>
      <c r="E12" s="157">
        <f>Assumptions!F154</f>
        <v>5.5E-2</v>
      </c>
      <c r="F12" s="752" t="s">
        <v>840</v>
      </c>
      <c r="G12" s="752"/>
      <c r="H12" s="752"/>
      <c r="I12" s="752"/>
    </row>
    <row r="13" spans="1:10">
      <c r="B13" s="53"/>
      <c r="F13" s="53"/>
      <c r="G13" s="53"/>
      <c r="I13" s="53"/>
    </row>
    <row r="14" spans="1:10">
      <c r="A14" s="6"/>
      <c r="B14" s="832" t="s">
        <v>841</v>
      </c>
      <c r="C14" s="832"/>
      <c r="D14" s="832"/>
      <c r="E14" s="832"/>
      <c r="F14" s="832"/>
      <c r="G14" s="832"/>
      <c r="H14" s="832"/>
      <c r="I14" s="832"/>
      <c r="J14" s="832"/>
    </row>
    <row r="15" spans="1:10" s="1" customFormat="1">
      <c r="A15" s="39"/>
      <c r="B15" s="158"/>
      <c r="C15" s="158"/>
      <c r="D15" s="158"/>
      <c r="E15" s="158"/>
      <c r="F15" s="158"/>
      <c r="G15" s="158"/>
      <c r="H15" s="158"/>
      <c r="I15" s="158"/>
      <c r="J15" s="74"/>
    </row>
    <row r="16" spans="1:10">
      <c r="A16" s="7"/>
      <c r="B16" s="121" t="s">
        <v>46</v>
      </c>
      <c r="C16" s="153" t="s">
        <v>51</v>
      </c>
      <c r="D16" s="153" t="s">
        <v>52</v>
      </c>
      <c r="E16" s="154" t="s">
        <v>53</v>
      </c>
      <c r="F16" s="159" t="s">
        <v>54</v>
      </c>
      <c r="G16" s="750" t="s">
        <v>842</v>
      </c>
      <c r="H16" s="750"/>
      <c r="I16" s="750"/>
    </row>
    <row r="17" spans="1:10">
      <c r="A17" s="7"/>
      <c r="B17" s="125" t="s">
        <v>313</v>
      </c>
      <c r="C17" s="160">
        <f>'3-Statement'!G38</f>
        <v>1144.8514759999994</v>
      </c>
      <c r="D17" s="160">
        <f>'3-Statement'!H38</f>
        <v>2373.0490556</v>
      </c>
      <c r="E17" s="161">
        <f>'3-Statement'!I38</f>
        <v>4939.8646311192006</v>
      </c>
      <c r="F17" s="160">
        <f>'3-Statement'!J38</f>
        <v>7667.7513410675037</v>
      </c>
      <c r="G17" s="752" t="s">
        <v>843</v>
      </c>
      <c r="H17" s="752"/>
      <c r="I17" s="752"/>
    </row>
    <row r="18" spans="1:10">
      <c r="A18" s="7"/>
      <c r="B18" s="125" t="s">
        <v>844</v>
      </c>
      <c r="C18" s="157">
        <f>Assumptions!E123</f>
        <v>0.22</v>
      </c>
      <c r="D18" s="157">
        <f>Assumptions!F123</f>
        <v>0.22</v>
      </c>
      <c r="E18" s="644">
        <f>Assumptions!G123</f>
        <v>0.25</v>
      </c>
      <c r="F18" s="157">
        <f>Assumptions!H123</f>
        <v>0.25</v>
      </c>
      <c r="G18" s="752" t="s">
        <v>845</v>
      </c>
      <c r="H18" s="752"/>
      <c r="I18" s="752"/>
    </row>
    <row r="19" spans="1:10">
      <c r="B19" s="125" t="s">
        <v>820</v>
      </c>
      <c r="C19" s="162">
        <f>ROUND(C17*(1-C18),0)</f>
        <v>893</v>
      </c>
      <c r="D19" s="162">
        <f t="shared" ref="D19:F19" si="1">ROUND(D17*(1-D18),0)</f>
        <v>1851</v>
      </c>
      <c r="E19" s="162">
        <f t="shared" si="1"/>
        <v>3705</v>
      </c>
      <c r="F19" s="162">
        <f t="shared" si="1"/>
        <v>5751</v>
      </c>
      <c r="G19" s="752"/>
      <c r="H19" s="752"/>
      <c r="I19" s="752"/>
    </row>
    <row r="20" spans="1:10">
      <c r="B20" s="125" t="s">
        <v>846</v>
      </c>
      <c r="C20" s="162">
        <f>'3-Statement'!G36</f>
        <v>1130</v>
      </c>
      <c r="D20" s="162">
        <f>'3-Statement'!H36</f>
        <v>1380</v>
      </c>
      <c r="E20" s="163">
        <f>'3-Statement'!I36</f>
        <v>1590</v>
      </c>
      <c r="F20" s="162">
        <f>'3-Statement'!J36</f>
        <v>1740</v>
      </c>
      <c r="G20" s="752" t="s">
        <v>847</v>
      </c>
      <c r="H20" s="752"/>
      <c r="I20" s="752"/>
    </row>
    <row r="21" spans="1:10">
      <c r="B21" s="125" t="s">
        <v>848</v>
      </c>
      <c r="C21" s="162">
        <f>-(Assumptions!E137)</f>
        <v>-1100</v>
      </c>
      <c r="D21" s="162">
        <f>-(Assumptions!F137)</f>
        <v>-1450</v>
      </c>
      <c r="E21" s="163">
        <f>-(Assumptions!G137)</f>
        <v>-1300</v>
      </c>
      <c r="F21" s="162">
        <f>-(Assumptions!H137)</f>
        <v>-1000</v>
      </c>
      <c r="G21" s="763" t="s">
        <v>849</v>
      </c>
      <c r="H21" s="763"/>
      <c r="I21" s="763"/>
    </row>
    <row r="22" spans="1:10" ht="15" customHeight="1">
      <c r="B22" s="125" t="s">
        <v>850</v>
      </c>
      <c r="C22" s="162">
        <f>(30219*18/365)-(20243*18/365)</f>
        <v>491.96712328767126</v>
      </c>
      <c r="D22" s="162">
        <f>(42538*18/365)-(30219*18/365)</f>
        <v>607.51232876712311</v>
      </c>
      <c r="E22" s="163">
        <f>(56423*18/365)-(42538*18/365)</f>
        <v>684.73972602739741</v>
      </c>
      <c r="F22" s="164">
        <f>-(('3-Statement'!J7-'3-Statement'!I7)*18/365)</f>
        <v>-595.03865811188962</v>
      </c>
      <c r="G22" s="760" t="s">
        <v>851</v>
      </c>
      <c r="H22" s="761"/>
      <c r="I22" s="762"/>
    </row>
    <row r="23" spans="1:10">
      <c r="B23" s="165" t="s">
        <v>852</v>
      </c>
      <c r="C23" s="166">
        <f>SUM(C19:C22)</f>
        <v>1414.9671232876713</v>
      </c>
      <c r="D23" s="166">
        <f t="shared" ref="D23:F23" si="2">SUM(D19:D22)</f>
        <v>2388.5123287671231</v>
      </c>
      <c r="E23" s="167">
        <f t="shared" si="2"/>
        <v>4679.7397260273974</v>
      </c>
      <c r="F23" s="166">
        <f t="shared" si="2"/>
        <v>5895.9613418881108</v>
      </c>
      <c r="G23" s="760"/>
      <c r="H23" s="761"/>
      <c r="I23" s="762"/>
    </row>
    <row r="24" spans="1:10">
      <c r="A24" s="6"/>
      <c r="B24" s="53"/>
      <c r="F24" s="53"/>
      <c r="G24" s="53"/>
      <c r="I24" s="53"/>
    </row>
    <row r="25" spans="1:10">
      <c r="A25" s="7"/>
      <c r="B25" s="753" t="s">
        <v>853</v>
      </c>
      <c r="C25" s="753"/>
      <c r="D25" s="753"/>
      <c r="E25" s="753"/>
      <c r="F25" s="753"/>
      <c r="G25" s="753"/>
      <c r="H25" s="753"/>
      <c r="I25" s="753"/>
      <c r="J25" s="753"/>
    </row>
    <row r="26" spans="1:10">
      <c r="A26" s="7"/>
      <c r="B26" s="149" t="s">
        <v>46</v>
      </c>
      <c r="C26" s="168" t="s">
        <v>854</v>
      </c>
      <c r="D26" s="168" t="s">
        <v>855</v>
      </c>
      <c r="E26" s="168" t="s">
        <v>856</v>
      </c>
      <c r="F26" s="169" t="s">
        <v>857</v>
      </c>
      <c r="G26" s="170" t="s">
        <v>858</v>
      </c>
      <c r="H26" s="171" t="s">
        <v>859</v>
      </c>
      <c r="I26" s="171" t="s">
        <v>860</v>
      </c>
      <c r="J26" s="172" t="s">
        <v>861</v>
      </c>
    </row>
    <row r="27" spans="1:10" ht="15" customHeight="1">
      <c r="A27" s="7"/>
      <c r="B27" s="125" t="s">
        <v>56</v>
      </c>
      <c r="C27" s="637">
        <v>0.2</v>
      </c>
      <c r="D27" s="637">
        <v>0.18</v>
      </c>
      <c r="E27" s="637">
        <v>0.15</v>
      </c>
      <c r="F27" s="638">
        <v>0.13</v>
      </c>
      <c r="G27" s="641">
        <v>0.12</v>
      </c>
      <c r="H27" s="640">
        <v>0.1</v>
      </c>
      <c r="I27" s="640">
        <v>0.09</v>
      </c>
      <c r="J27" s="631" t="s">
        <v>862</v>
      </c>
    </row>
    <row r="28" spans="1:10" ht="15" customHeight="1">
      <c r="A28" s="7"/>
      <c r="B28" s="125" t="s">
        <v>386</v>
      </c>
      <c r="C28" s="141">
        <f>'3-Statement'!J7*(1+C27)</f>
        <v>78191.748965855993</v>
      </c>
      <c r="D28" s="160">
        <f>C28*(1+D27)</f>
        <v>92266.263779710061</v>
      </c>
      <c r="E28" s="160">
        <f t="shared" ref="E28:G28" si="3">D28*(1+E27)</f>
        <v>106106.20334666656</v>
      </c>
      <c r="F28" s="161">
        <f t="shared" si="3"/>
        <v>119900.0097817332</v>
      </c>
      <c r="G28" s="128">
        <f t="shared" si="3"/>
        <v>134288.01095554119</v>
      </c>
      <c r="H28" s="173">
        <f>G28*(1+H27)</f>
        <v>147716.81205109533</v>
      </c>
      <c r="I28" s="173">
        <f>H28*(1+I27)</f>
        <v>161011.32513569391</v>
      </c>
      <c r="J28" s="625" t="s">
        <v>863</v>
      </c>
    </row>
    <row r="29" spans="1:10" ht="15" customHeight="1">
      <c r="A29" s="7"/>
      <c r="B29" s="125" t="s">
        <v>179</v>
      </c>
      <c r="C29" s="637">
        <v>0.15</v>
      </c>
      <c r="D29" s="637">
        <v>0.17</v>
      </c>
      <c r="E29" s="637">
        <v>0.19</v>
      </c>
      <c r="F29" s="638">
        <v>0.2</v>
      </c>
      <c r="G29" s="639">
        <v>0.21</v>
      </c>
      <c r="H29" s="640">
        <v>0.22</v>
      </c>
      <c r="I29" s="640">
        <v>0.22</v>
      </c>
      <c r="J29" s="631" t="s">
        <v>864</v>
      </c>
    </row>
    <row r="30" spans="1:10" ht="18" customHeight="1">
      <c r="A30" s="24"/>
      <c r="B30" s="125" t="s">
        <v>865</v>
      </c>
      <c r="C30" s="174">
        <f>C28*C29*0.75</f>
        <v>8796.571758658798</v>
      </c>
      <c r="D30" s="174">
        <f t="shared" ref="D30:G30" si="4">D28*D29*0.75</f>
        <v>11763.948631913034</v>
      </c>
      <c r="E30" s="174">
        <f t="shared" si="4"/>
        <v>15120.133976899986</v>
      </c>
      <c r="F30" s="175">
        <f t="shared" si="4"/>
        <v>17985.001467259979</v>
      </c>
      <c r="G30" s="176">
        <f t="shared" si="4"/>
        <v>21150.361725497736</v>
      </c>
      <c r="H30" s="173">
        <f>H28*H29*0.75</f>
        <v>24373.27398843073</v>
      </c>
      <c r="I30" s="177">
        <f>I28*I29*0.75</f>
        <v>26566.868647389496</v>
      </c>
      <c r="J30" s="625" t="s">
        <v>866</v>
      </c>
    </row>
    <row r="31" spans="1:10" ht="15" customHeight="1">
      <c r="A31" s="6"/>
      <c r="B31" s="125" t="s">
        <v>867</v>
      </c>
      <c r="C31" s="174">
        <f>ROUND(C28*0.025,0)</f>
        <v>1955</v>
      </c>
      <c r="D31" s="174">
        <f>ROUND(D28*0.023,0)</f>
        <v>2122</v>
      </c>
      <c r="E31" s="174">
        <f>ROUND(E28*0.022,0)</f>
        <v>2334</v>
      </c>
      <c r="F31" s="175">
        <f>ROUND(F28*0.021,0)</f>
        <v>2518</v>
      </c>
      <c r="G31" s="176">
        <f>ROUND(G28*0.02,0)</f>
        <v>2686</v>
      </c>
      <c r="H31" s="139">
        <v>2982</v>
      </c>
      <c r="I31" s="139">
        <v>3080</v>
      </c>
      <c r="J31" s="625" t="s">
        <v>868</v>
      </c>
    </row>
    <row r="32" spans="1:10" ht="15" customHeight="1">
      <c r="A32" s="7"/>
      <c r="B32" s="125" t="s">
        <v>869</v>
      </c>
      <c r="C32" s="162">
        <f>-ROUND(C28*0.012,0)</f>
        <v>-938</v>
      </c>
      <c r="D32" s="162">
        <f>-ROUND(D28*0.01,0)</f>
        <v>-923</v>
      </c>
      <c r="E32" s="162">
        <f>-ROUND(E28*0.01,0)</f>
        <v>-1061</v>
      </c>
      <c r="F32" s="163">
        <f>-ROUND(F28*0.01,0)</f>
        <v>-1199</v>
      </c>
      <c r="G32" s="178">
        <f>-ROUND(G28*0.01,0)</f>
        <v>-1343</v>
      </c>
      <c r="H32" s="178">
        <f>-ROUND(H28*0.015,0)</f>
        <v>-2216</v>
      </c>
      <c r="I32" s="178">
        <f>-ROUND(I28*0.015,0)</f>
        <v>-2415</v>
      </c>
      <c r="J32" s="625" t="s">
        <v>870</v>
      </c>
    </row>
    <row r="33" spans="1:10" ht="15" customHeight="1">
      <c r="B33" s="125" t="s">
        <v>871</v>
      </c>
      <c r="C33" s="634">
        <v>-300</v>
      </c>
      <c r="D33" s="634">
        <v>-250</v>
      </c>
      <c r="E33" s="634">
        <v>-200</v>
      </c>
      <c r="F33" s="635">
        <v>-150</v>
      </c>
      <c r="G33" s="636">
        <v>-100</v>
      </c>
      <c r="H33" s="179">
        <v>-80</v>
      </c>
      <c r="I33" s="179">
        <v>-60</v>
      </c>
      <c r="J33" s="625" t="s">
        <v>872</v>
      </c>
    </row>
    <row r="34" spans="1:10" ht="15" customHeight="1">
      <c r="B34" s="180" t="s">
        <v>873</v>
      </c>
      <c r="C34" s="181">
        <f>SUM(C30,C31)+C32+C33</f>
        <v>9513.571758658798</v>
      </c>
      <c r="D34" s="181">
        <f t="shared" ref="D34:G34" si="5">SUM(D30,D31)+D32+D33</f>
        <v>12712.948631913034</v>
      </c>
      <c r="E34" s="181">
        <f t="shared" si="5"/>
        <v>16193.133976899986</v>
      </c>
      <c r="F34" s="182">
        <f t="shared" si="5"/>
        <v>19154.001467259979</v>
      </c>
      <c r="G34" s="183">
        <f t="shared" si="5"/>
        <v>22393.361725497736</v>
      </c>
      <c r="H34" s="184">
        <f>SUM(H30,H31)+H32+H33</f>
        <v>25059.27398843073</v>
      </c>
      <c r="I34" s="184">
        <f>SUM(I30,I31)+I32+I33</f>
        <v>27171.868647389496</v>
      </c>
      <c r="J34" s="625" t="s">
        <v>874</v>
      </c>
    </row>
    <row r="35" spans="1:10">
      <c r="A35" s="6"/>
      <c r="B35" s="53"/>
      <c r="F35" s="53"/>
      <c r="G35" s="53"/>
      <c r="I35" s="53"/>
    </row>
    <row r="36" spans="1:10">
      <c r="A36" s="7"/>
      <c r="B36" s="754" t="s">
        <v>875</v>
      </c>
      <c r="C36" s="754"/>
      <c r="D36" s="754"/>
      <c r="E36" s="754"/>
      <c r="F36" s="754"/>
      <c r="G36" s="754"/>
      <c r="H36" s="754"/>
      <c r="I36" s="754"/>
      <c r="J36" s="754"/>
    </row>
    <row r="37" spans="1:10" s="1" customFormat="1">
      <c r="A37" s="40"/>
      <c r="B37" s="152"/>
      <c r="C37" s="152"/>
      <c r="D37" s="152"/>
      <c r="E37" s="152"/>
      <c r="F37" s="152"/>
      <c r="G37" s="152"/>
      <c r="H37" s="152"/>
      <c r="I37" s="152"/>
      <c r="J37" s="74"/>
    </row>
    <row r="38" spans="1:10">
      <c r="A38" s="7"/>
      <c r="B38" s="750" t="s">
        <v>46</v>
      </c>
      <c r="C38" s="750"/>
      <c r="D38" s="153" t="s">
        <v>828</v>
      </c>
      <c r="E38" s="632" t="s">
        <v>514</v>
      </c>
      <c r="F38" s="153" t="s">
        <v>829</v>
      </c>
      <c r="G38" s="53"/>
      <c r="I38" s="53"/>
    </row>
    <row r="39" spans="1:10">
      <c r="A39" s="7"/>
      <c r="B39" s="755" t="s">
        <v>876</v>
      </c>
      <c r="C39" s="755"/>
      <c r="D39" s="157">
        <f>C11</f>
        <v>0.13950000000000001</v>
      </c>
      <c r="E39" s="643">
        <f>D11</f>
        <v>0.13125000000000001</v>
      </c>
      <c r="F39" s="157">
        <f>E11</f>
        <v>0.11750000000000001</v>
      </c>
      <c r="G39" s="53"/>
      <c r="I39" s="53"/>
    </row>
    <row r="40" spans="1:10">
      <c r="A40" s="7"/>
      <c r="B40" s="755" t="s">
        <v>877</v>
      </c>
      <c r="C40" s="755"/>
      <c r="D40" s="157">
        <f>C12</f>
        <v>0.04</v>
      </c>
      <c r="E40" s="643">
        <f>D12</f>
        <v>4.4999999999999998E-2</v>
      </c>
      <c r="F40" s="157">
        <f>E12</f>
        <v>5.5E-2</v>
      </c>
      <c r="G40" s="53"/>
      <c r="I40" s="53"/>
    </row>
    <row r="41" spans="1:10">
      <c r="A41" s="7"/>
      <c r="B41" s="755" t="s">
        <v>878</v>
      </c>
      <c r="C41" s="755"/>
      <c r="D41" s="160">
        <f>$C$23/(1+D39)^0.5+$D$23/(1+D39)^1.5+$E$23/(1+D39)^2.5+$F$23/(1+D39)^3.5</f>
        <v>10398.371994552532</v>
      </c>
      <c r="E41" s="160">
        <f t="shared" ref="E41:F41" si="6">$C$23/(1+E39)^0.5+$D$23/(1+E39)^1.5+$E$23/(1+E39)^2.5+$F$23/(1+E39)^3.5</f>
        <v>10582.764694620992</v>
      </c>
      <c r="F41" s="160">
        <f t="shared" si="6"/>
        <v>10901.865373410372</v>
      </c>
      <c r="G41" s="53"/>
      <c r="I41" s="53"/>
    </row>
    <row r="42" spans="1:10">
      <c r="A42" s="7"/>
      <c r="B42" s="755" t="s">
        <v>879</v>
      </c>
      <c r="C42" s="755"/>
      <c r="D42" s="160">
        <f>$C$34/(1+D39)^4.5+$D$34/(1+D39)^5.5+$E$34/(1+D39)^6.5+$F$34/(1+D39)^7.5+$G$34/(1+D39)^8.5+$H$34/(1+D39)^9.5+$I$34/(1+D39)^10.5</f>
        <v>47130.703680601451</v>
      </c>
      <c r="E42" s="160">
        <f>$C$34/(1+E39)^4.5+$D$34/(1+E39)^5.5+$E$34/(1+E39)^6.5+$F$34/(1+E39)^7.5+$G$34/(1+E39)^8.5+$H$34/(1+E39)^9.5+$I$34/(1+E39)^10.5</f>
        <v>49832.070464655779</v>
      </c>
      <c r="F42" s="160">
        <f>$C$34/(1+F39)^4.5+$D$34/(1+F39)^5.5+$E$34/(1+F39)^6.5+$F$34/(1+F39)^7.5+$G$34/(1+F39)^8.5+$H$34/(1+F39)^9.5+$I$34/(1+F39)^10.5</f>
        <v>54756.948173326629</v>
      </c>
      <c r="G42" s="53"/>
      <c r="I42" s="53"/>
    </row>
    <row r="43" spans="1:10">
      <c r="A43" s="7"/>
      <c r="B43" s="755" t="s">
        <v>880</v>
      </c>
      <c r="C43" s="755"/>
      <c r="D43" s="160">
        <f>$I$34*(1+D40)/(D39-D40)</f>
        <v>284007.47128929722</v>
      </c>
      <c r="E43" s="160">
        <f>$I$34*(1+E40)/(E39-E40)</f>
        <v>329212.78535097995</v>
      </c>
      <c r="F43" s="160">
        <f>$I$34*(1+F40)/(F39-F40)</f>
        <v>458661.14276793465</v>
      </c>
      <c r="G43" s="53"/>
      <c r="I43" s="53"/>
    </row>
    <row r="44" spans="1:10">
      <c r="B44" s="755" t="s">
        <v>881</v>
      </c>
      <c r="C44" s="755"/>
      <c r="D44" s="160">
        <f>D43/(1+D39)^11</f>
        <v>67526.173510530789</v>
      </c>
      <c r="E44" s="160">
        <f t="shared" ref="E44:F44" si="7">E43/(1+E39)^11</f>
        <v>84787.568089836495</v>
      </c>
      <c r="F44" s="160">
        <f t="shared" si="7"/>
        <v>135135.38986987874</v>
      </c>
      <c r="G44" s="53"/>
      <c r="I44" s="53"/>
    </row>
    <row r="45" spans="1:10">
      <c r="B45" s="755" t="s">
        <v>882</v>
      </c>
      <c r="C45" s="755"/>
      <c r="D45" s="157">
        <f>D44/(D41+D42+D44)</f>
        <v>0.53997072454164996</v>
      </c>
      <c r="E45" s="157">
        <f t="shared" ref="E45:F45" si="8">E44/(E41+E42+E44)</f>
        <v>0.58392675460317689</v>
      </c>
      <c r="F45" s="157">
        <f t="shared" si="8"/>
        <v>0.67300443723215708</v>
      </c>
      <c r="G45" s="756"/>
      <c r="H45" s="757"/>
      <c r="I45" s="757"/>
      <c r="J45" s="757"/>
    </row>
    <row r="46" spans="1:10">
      <c r="B46" s="751" t="s">
        <v>883</v>
      </c>
      <c r="C46" s="751"/>
      <c r="D46" s="185">
        <f>D41+D42+D44</f>
        <v>125055.24918568478</v>
      </c>
      <c r="E46" s="186">
        <f t="shared" ref="E46:F46" si="9">E41+E42+E44</f>
        <v>145202.40324911327</v>
      </c>
      <c r="F46" s="185">
        <f t="shared" si="9"/>
        <v>200794.20341661572</v>
      </c>
      <c r="G46" s="53"/>
      <c r="I46" s="53"/>
    </row>
    <row r="47" spans="1:10">
      <c r="B47" s="53"/>
      <c r="F47" s="53"/>
      <c r="G47" s="53"/>
      <c r="I47" s="53"/>
    </row>
    <row r="48" spans="1:10">
      <c r="B48" s="769" t="s">
        <v>884</v>
      </c>
      <c r="C48" s="770"/>
      <c r="D48" s="771"/>
      <c r="E48" s="771"/>
      <c r="F48" s="771"/>
      <c r="G48" s="53"/>
      <c r="I48" s="53"/>
    </row>
    <row r="49" spans="2:10">
      <c r="B49" s="764" t="s">
        <v>885</v>
      </c>
      <c r="C49" s="764"/>
      <c r="D49" s="187">
        <f>D46</f>
        <v>125055.24918568478</v>
      </c>
      <c r="E49" s="160">
        <f>E46</f>
        <v>145202.40324911327</v>
      </c>
      <c r="F49" s="160">
        <f>F46</f>
        <v>200794.20341661572</v>
      </c>
      <c r="G49" s="53"/>
      <c r="I49" s="53"/>
    </row>
    <row r="50" spans="2:10">
      <c r="B50" s="765" t="s">
        <v>886</v>
      </c>
      <c r="C50" s="765"/>
      <c r="D50" s="188">
        <f>'3-Statement'!$F$76+'3-Statement'!$F$74+'3-Statement'!$F$77+'3-Statement'!$F$66</f>
        <v>16806</v>
      </c>
      <c r="E50" s="141">
        <f>'3-Statement'!$F$76+'3-Statement'!$F$74+'3-Statement'!$F$77+'3-Statement'!$F$66</f>
        <v>16806</v>
      </c>
      <c r="F50" s="141">
        <f>'3-Statement'!$F$76+'3-Statement'!$F$74+'3-Statement'!$F$77+'3-Statement'!$F$66</f>
        <v>16806</v>
      </c>
      <c r="G50" s="53"/>
      <c r="I50" s="53"/>
    </row>
    <row r="51" spans="2:10">
      <c r="B51" s="764" t="s">
        <v>887</v>
      </c>
      <c r="C51" s="764"/>
      <c r="D51" s="633">
        <f>-('3-Statement'!$F$92+'3-Statement'!$F$100)</f>
        <v>-2045</v>
      </c>
      <c r="E51" s="162">
        <f>-('3-Statement'!$F$92+'3-Statement'!$F$100)</f>
        <v>-2045</v>
      </c>
      <c r="F51" s="162">
        <f>-('3-Statement'!$F$92+'3-Statement'!$F$100)</f>
        <v>-2045</v>
      </c>
      <c r="G51" s="53"/>
      <c r="I51" s="53"/>
    </row>
    <row r="52" spans="2:10">
      <c r="B52" s="764" t="s">
        <v>888</v>
      </c>
      <c r="C52" s="764"/>
      <c r="D52" s="190">
        <v>0</v>
      </c>
      <c r="E52" s="191">
        <v>0</v>
      </c>
      <c r="F52" s="191">
        <v>0</v>
      </c>
      <c r="G52" s="53"/>
      <c r="I52" s="53"/>
    </row>
    <row r="53" spans="2:10">
      <c r="B53" s="766" t="s">
        <v>889</v>
      </c>
      <c r="C53" s="766"/>
      <c r="D53" s="186">
        <f>SUM(D49:D52)</f>
        <v>139816.24918568478</v>
      </c>
      <c r="E53" s="185">
        <f t="shared" ref="E53:F53" si="10">SUM(E49:E52)</f>
        <v>159963.40324911327</v>
      </c>
      <c r="F53" s="185">
        <f t="shared" si="10"/>
        <v>215555.20341661572</v>
      </c>
      <c r="G53" s="53"/>
      <c r="I53" s="53"/>
    </row>
    <row r="54" spans="2:10">
      <c r="B54" s="764" t="s">
        <v>890</v>
      </c>
      <c r="C54" s="764"/>
      <c r="D54" s="192">
        <f>Assumptions!$E$158</f>
        <v>940</v>
      </c>
      <c r="E54" s="193">
        <f>Assumptions!$E$158</f>
        <v>940</v>
      </c>
      <c r="F54" s="193">
        <f>Assumptions!$E$158</f>
        <v>940</v>
      </c>
      <c r="G54" s="53"/>
      <c r="I54" s="53"/>
    </row>
    <row r="55" spans="2:10">
      <c r="B55" s="53"/>
      <c r="F55" s="53"/>
      <c r="G55" s="53"/>
      <c r="I55" s="53"/>
    </row>
    <row r="56" spans="2:10" ht="16.5" customHeight="1">
      <c r="B56" s="194" t="s">
        <v>891</v>
      </c>
      <c r="C56" s="195">
        <f>D53/D54</f>
        <v>148.7406906230689</v>
      </c>
      <c r="D56" s="195">
        <f>E53/E54</f>
        <v>170.1738332437375</v>
      </c>
      <c r="E56" s="195">
        <f>F53/F54</f>
        <v>229.31404618788906</v>
      </c>
    </row>
    <row r="57" spans="2:10">
      <c r="B57" s="196" t="s">
        <v>892</v>
      </c>
      <c r="C57" s="197">
        <v>249</v>
      </c>
      <c r="D57" s="197">
        <v>249</v>
      </c>
      <c r="E57" s="197">
        <v>249</v>
      </c>
    </row>
    <row r="58" spans="2:10">
      <c r="B58" s="125" t="s">
        <v>893</v>
      </c>
      <c r="C58" s="157">
        <f>C56/C57-1</f>
        <v>-0.40264782882301642</v>
      </c>
      <c r="D58" s="157">
        <f>D56/D57-1</f>
        <v>-0.3165709508283634</v>
      </c>
      <c r="E58" s="157">
        <f t="shared" ref="D58:E58" si="11">E56/E57-1</f>
        <v>-7.9060055470325019E-2</v>
      </c>
    </row>
    <row r="59" spans="2:10">
      <c r="B59" s="198" t="s">
        <v>894</v>
      </c>
      <c r="C59" s="199">
        <f>D46/'3-Statement'!$G$27</f>
        <v>54.972929224186771</v>
      </c>
      <c r="D59" s="199">
        <f>E46/'3-Statement'!$G$27</f>
        <v>63.829399317282423</v>
      </c>
      <c r="E59" s="199">
        <f>F46/'3-Statement'!$G$27</f>
        <v>88.26695084713117</v>
      </c>
    </row>
    <row r="60" spans="2:10">
      <c r="B60" s="125" t="s">
        <v>895</v>
      </c>
      <c r="C60" s="189">
        <f>D46/'3-Statement'!$G$7</f>
        <v>4.3662374897292464</v>
      </c>
      <c r="D60" s="189">
        <f>E46/'3-Statement'!$G$7</f>
        <v>5.0696646545696176</v>
      </c>
      <c r="E60" s="189">
        <f>F46/'3-Statement'!$G$7</f>
        <v>7.0106227798257548</v>
      </c>
    </row>
    <row r="62" spans="2:10">
      <c r="B62" s="754" t="s">
        <v>896</v>
      </c>
      <c r="C62" s="754"/>
      <c r="D62" s="754"/>
      <c r="E62" s="754"/>
      <c r="F62" s="754"/>
      <c r="G62" s="754"/>
      <c r="H62" s="754"/>
      <c r="I62" s="754"/>
      <c r="J62" s="754"/>
    </row>
    <row r="63" spans="2:10">
      <c r="B63" s="767"/>
      <c r="C63" s="768"/>
      <c r="D63" s="768"/>
      <c r="E63" s="768"/>
      <c r="F63" s="768"/>
      <c r="G63" s="768"/>
      <c r="H63" s="768"/>
      <c r="I63" s="768"/>
      <c r="J63" s="768"/>
    </row>
    <row r="64" spans="2:10">
      <c r="B64" s="200" t="s">
        <v>897</v>
      </c>
      <c r="C64" s="201">
        <v>0.04</v>
      </c>
      <c r="D64" s="201">
        <v>4.4999999999999998E-2</v>
      </c>
      <c r="E64" s="201">
        <v>0.05</v>
      </c>
      <c r="F64" s="201">
        <v>5.5E-2</v>
      </c>
      <c r="G64" s="201">
        <v>0.06</v>
      </c>
      <c r="H64" s="201">
        <v>6.5000000000000002E-2</v>
      </c>
      <c r="I64" s="201">
        <v>7.0000000000000007E-2</v>
      </c>
    </row>
    <row r="65" spans="2:10">
      <c r="B65" s="202">
        <v>0.11</v>
      </c>
      <c r="C65" s="203">
        <f>ROUND(
  ($C$23/(1+$B65)^0.5 + $D$23/(1+$B65)^1.5 + $E$23/(1+$B65)^2.5 + $F$23/(1+$B65)^3.5
  +$C$34/(1+$B65)^4.5 + $D$34/(1+$B65)^5.5 + $E$34/(1+$B65)^6.5 + $F$34/(1+$B65)^7.5
  +$G$34/(1+$B65)^8.5 + $H$34/(1+$B65)^9.5 + $I$34/(1+$B65)^10.5
  +$I$34*(1+C$64)/($B65-C$64)/(1+$B65)^11
  +Assumptions!$D$138-Assumptions!$D$140)
  /Assumptions!$E$158,0)</f>
        <v>225</v>
      </c>
      <c r="D65" s="203">
        <f>ROUND(
  ($C$23/(1+$B65)^0.5 + $D$23/(1+$B65)^1.5 + $E$23/(1+$B65)^2.5 + $F$23/(1+$B65)^3.5
  +$C$34/(1+$B65)^4.5 + $D$34/(1+$B65)^5.5 + $E$34/(1+$B65)^6.5 + $F$34/(1+$B65)^7.5
  +$G$34/(1+$B65)^8.5 + $H$34/(1+$B65)^9.5 + $I$34/(1+$B65)^10.5
  +$I$34*(1+D$64)/($B65-D$64)/(1+$B65)^11
  +Assumptions!$D$138-Assumptions!$D$140)
  /Assumptions!$E$158,0)</f>
        <v>236</v>
      </c>
      <c r="E65" s="203">
        <f>ROUND(
  ($C$23/(1+$B65)^0.5 + $D$23/(1+$B65)^1.5 + $E$23/(1+$B65)^2.5 + $F$23/(1+$B65)^3.5
  +$C$34/(1+$B65)^4.5 + $D$34/(1+$B65)^5.5 + $E$34/(1+$B65)^6.5 + $F$34/(1+$B65)^7.5
  +$G$34/(1+$B65)^8.5 + $H$34/(1+$B65)^9.5 + $I$34/(1+$B65)^10.5
  +$I$34*(1+E$64)/($B65-E$64)/(1+$B65)^11
  +Assumptions!$D$138-Assumptions!$D$140)
  /Assumptions!$E$158,0)</f>
        <v>249</v>
      </c>
      <c r="F65" s="203">
        <f>ROUND(
  ($C$23/(1+$B65)^0.5 + $D$23/(1+$B65)^1.5 + $E$23/(1+$B65)^2.5 + $F$23/(1+$B65)^3.5
  +$C$34/(1+$B65)^4.5 + $D$34/(1+$B65)^5.5 + $E$34/(1+$B65)^6.5 + $F$34/(1+$B65)^7.5
  +$G$34/(1+$B65)^8.5 + $H$34/(1+$B65)^9.5 + $I$34/(1+$B65)^10.5
  +$I$34*(1+F$64)/($B65-F$64)/(1+$B65)^11
  +Assumptions!$D$138-Assumptions!$D$140)
  /Assumptions!$E$158,0)</f>
        <v>265</v>
      </c>
      <c r="G65" s="203">
        <f>ROUND(
  ($C$23/(1+$B65)^0.5 + $D$23/(1+$B65)^1.5 + $E$23/(1+$B65)^2.5 + $F$23/(1+$B65)^3.5
  +$C$34/(1+$B65)^4.5 + $D$34/(1+$B65)^5.5 + $E$34/(1+$B65)^6.5 + $F$34/(1+$B65)^7.5
  +$G$34/(1+$B65)^8.5 + $H$34/(1+$B65)^9.5 + $I$34/(1+$B65)^10.5
  +$I$34*(1+G$64)/($B65-G$64)/(1+$B65)^11
  +Assumptions!$D$138-Assumptions!$D$140)
  /Assumptions!$E$158,0)</f>
        <v>283</v>
      </c>
      <c r="H65" s="203">
        <f>ROUND(
  ($C$23/(1+$B65)^0.5 + $D$23/(1+$B65)^1.5 + $E$23/(1+$B65)^2.5 + $F$23/(1+$B65)^3.5
  +$C$34/(1+$B65)^4.5 + $D$34/(1+$B65)^5.5 + $E$34/(1+$B65)^6.5 + $F$34/(1+$B65)^7.5
  +$G$34/(1+$B65)^8.5 + $H$34/(1+$B65)^9.5 + $I$34/(1+$B65)^10.5
  +$I$34*(1+H$64)/($B65-H$64)/(1+$B65)^11
  +Assumptions!$D$138-Assumptions!$D$140)
  /Assumptions!$E$158,0)</f>
        <v>306</v>
      </c>
      <c r="I65" s="203">
        <f>ROUND(
  ($C$23/(1+$B65)^0.5 + $D$23/(1+$B65)^1.5 + $E$23/(1+$B65)^2.5 + $F$23/(1+$B65)^3.5
  +$C$34/(1+$B65)^4.5 + $D$34/(1+$B65)^5.5 + $E$34/(1+$B65)^6.5 + $F$34/(1+$B65)^7.5
  +$G$34/(1+$B65)^8.5 + $H$34/(1+$B65)^9.5 + $I$34/(1+$B65)^10.5
  +$I$34*(1+I$64)/($B65-I$64)/(1+$B65)^11
  +Assumptions!$D$138-Assumptions!$D$140)
  /Assumptions!$E$158,0)</f>
        <v>334</v>
      </c>
    </row>
    <row r="66" spans="2:10">
      <c r="B66" s="202">
        <v>0.115</v>
      </c>
      <c r="C66" s="203">
        <f>ROUND(
  ($C$23/(1+$B66)^0.5 + $D$23/(1+$B66)^1.5 + $E$23/(1+$B66)^2.5 + $F$23/(1+$B66)^3.5
  +$C$34/(1+$B66)^4.5 + $D$34/(1+$B66)^5.5 + $E$34/(1+$B66)^6.5 + $F$34/(1+$B66)^7.5
  +$G$34/(1+$B66)^8.5 + $H$34/(1+$B66)^9.5 + $I$34/(1+$B66)^10.5
  +$I$34*(1+C$64)/($B66-C$64)/(1+$B66)^11
  +Assumptions!$D$138-Assumptions!$D$140)
  /Assumptions!$E$158,0)</f>
        <v>208</v>
      </c>
      <c r="D66" s="203">
        <f>ROUND(
  ($C$23/(1+$B66)^0.5 + $D$23/(1+$B66)^1.5 + $E$23/(1+$B66)^2.5 + $F$23/(1+$B66)^3.5
  +$C$34/(1+$B66)^4.5 + $D$34/(1+$B66)^5.5 + $E$34/(1+$B66)^6.5 + $F$34/(1+$B66)^7.5
  +$G$34/(1+$B66)^8.5 + $H$34/(1+$B66)^9.5 + $I$34/(1+$B66)^10.5
  +$I$34*(1+D$64)/($B66-D$64)/(1+$B66)^11
  +Assumptions!$D$138-Assumptions!$D$140)
  /Assumptions!$E$158,0)</f>
        <v>217</v>
      </c>
      <c r="E66" s="203">
        <f>ROUND(
  ($C$23/(1+$B66)^0.5 + $D$23/(1+$B66)^1.5 + $E$23/(1+$B66)^2.5 + $F$23/(1+$B66)^3.5
  +$C$34/(1+$B66)^4.5 + $D$34/(1+$B66)^5.5 + $E$34/(1+$B66)^6.5 + $F$34/(1+$B66)^7.5
  +$G$34/(1+$B66)^8.5 + $H$34/(1+$B66)^9.5 + $I$34/(1+$B66)^10.5
  +$I$34*(1+E$64)/($B66-E$64)/(1+$B66)^11
  +Assumptions!$D$138-Assumptions!$D$140)
  /Assumptions!$E$158,0)</f>
        <v>228</v>
      </c>
      <c r="F66" s="203">
        <f>ROUND(
  ($C$23/(1+$B66)^0.5 + $D$23/(1+$B66)^1.5 + $E$23/(1+$B66)^2.5 + $F$23/(1+$B66)^3.5
  +$C$34/(1+$B66)^4.5 + $D$34/(1+$B66)^5.5 + $E$34/(1+$B66)^6.5 + $F$34/(1+$B66)^7.5
  +$G$34/(1+$B66)^8.5 + $H$34/(1+$B66)^9.5 + $I$34/(1+$B66)^10.5
  +$I$34*(1+F$64)/($B66-F$64)/(1+$B66)^11
  +Assumptions!$D$138-Assumptions!$D$140)
  /Assumptions!$E$158,0)</f>
        <v>240</v>
      </c>
      <c r="G66" s="203">
        <f>ROUND(
  ($C$23/(1+$B66)^0.5 + $D$23/(1+$B66)^1.5 + $E$23/(1+$B66)^2.5 + $F$23/(1+$B66)^3.5
  +$C$34/(1+$B66)^4.5 + $D$34/(1+$B66)^5.5 + $E$34/(1+$B66)^6.5 + $F$34/(1+$B66)^7.5
  +$G$34/(1+$B66)^8.5 + $H$34/(1+$B66)^9.5 + $I$34/(1+$B66)^10.5
  +$I$34*(1+G$64)/($B66-G$64)/(1+$B66)^11
  +Assumptions!$D$138-Assumptions!$D$140)
  /Assumptions!$E$158,0)</f>
        <v>255</v>
      </c>
      <c r="H66" s="203">
        <f>ROUND(
  ($C$23/(1+$B66)^0.5 + $D$23/(1+$B66)^1.5 + $E$23/(1+$B66)^2.5 + $F$23/(1+$B66)^3.5
  +$C$34/(1+$B66)^4.5 + $D$34/(1+$B66)^5.5 + $E$34/(1+$B66)^6.5 + $F$34/(1+$B66)^7.5
  +$G$34/(1+$B66)^8.5 + $H$34/(1+$B66)^9.5 + $I$34/(1+$B66)^10.5
  +$I$34*(1+H$64)/($B66-H$64)/(1+$B66)^11
  +Assumptions!$D$138-Assumptions!$D$140)
  /Assumptions!$E$158,0)</f>
        <v>273</v>
      </c>
      <c r="I66" s="203">
        <f>ROUND(
  ($C$23/(1+$B66)^0.5 + $D$23/(1+$B66)^1.5 + $E$23/(1+$B66)^2.5 + $F$23/(1+$B66)^3.5
  +$C$34/(1+$B66)^4.5 + $D$34/(1+$B66)^5.5 + $E$34/(1+$B66)^6.5 + $F$34/(1+$B66)^7.5
  +$G$34/(1+$B66)^8.5 + $H$34/(1+$B66)^9.5 + $I$34/(1+$B66)^10.5
  +$I$34*(1+I$64)/($B66-I$64)/(1+$B66)^11
  +Assumptions!$D$138-Assumptions!$D$140)
  /Assumptions!$E$158,0)</f>
        <v>294</v>
      </c>
    </row>
    <row r="67" spans="2:10">
      <c r="B67" s="202">
        <v>0.125</v>
      </c>
      <c r="C67" s="203">
        <f>ROUND(
  ($C$23/(1+$B67)^0.5 + $D$23/(1+$B67)^1.5 + $E$23/(1+$B67)^2.5 + $F$23/(1+$B67)^3.5
  +$C$34/(1+$B67)^4.5 + $D$34/(1+$B67)^5.5 + $E$34/(1+$B67)^6.5 + $F$34/(1+$B67)^7.5
  +$G$34/(1+$B67)^8.5 + $H$34/(1+$B67)^9.5 + $I$34/(1+$B67)^10.5
  +$I$34*(1+C$64)/($B67-C$64)/(1+$B67)^11
  +Assumptions!$D$138-Assumptions!$D$140)
  /Assumptions!$E$158,0)</f>
        <v>179</v>
      </c>
      <c r="D67" s="203">
        <f>ROUND(
  ($C$23/(1+$B67)^0.5 + $D$23/(1+$B67)^1.5 + $E$23/(1+$B67)^2.5 + $F$23/(1+$B67)^3.5
  +$C$34/(1+$B67)^4.5 + $D$34/(1+$B67)^5.5 + $E$34/(1+$B67)^6.5 + $F$34/(1+$B67)^7.5
  +$G$34/(1+$B67)^8.5 + $H$34/(1+$B67)^9.5 + $I$34/(1+$B67)^10.5
  +$I$34*(1+D$64)/($B67-D$64)/(1+$B67)^11
  +Assumptions!$D$138-Assumptions!$D$140)
  /Assumptions!$E$158,0)</f>
        <v>186</v>
      </c>
      <c r="E67" s="203">
        <f>ROUND(
  ($C$23/(1+$B67)^0.5 + $D$23/(1+$B67)^1.5 + $E$23/(1+$B67)^2.5 + $F$23/(1+$B67)^3.5
  +$C$34/(1+$B67)^4.5 + $D$34/(1+$B67)^5.5 + $E$34/(1+$B67)^6.5 + $F$34/(1+$B67)^7.5
  +$G$34/(1+$B67)^8.5 + $H$34/(1+$B67)^9.5 + $I$34/(1+$B67)^10.5
  +$I$34*(1+E$64)/($B67-E$64)/(1+$B67)^11
  +Assumptions!$D$138-Assumptions!$D$140)
  /Assumptions!$E$158,0)</f>
        <v>193</v>
      </c>
      <c r="F67" s="203">
        <f>ROUND(
  ($C$23/(1+$B67)^0.5 + $D$23/(1+$B67)^1.5 + $E$23/(1+$B67)^2.5 + $F$23/(1+$B67)^3.5
  +$C$34/(1+$B67)^4.5 + $D$34/(1+$B67)^5.5 + $E$34/(1+$B67)^6.5 + $F$34/(1+$B67)^7.5
  +$G$34/(1+$B67)^8.5 + $H$34/(1+$B67)^9.5 + $I$34/(1+$B67)^10.5
  +$I$34*(1+F$64)/($B67-F$64)/(1+$B67)^11
  +Assumptions!$D$138-Assumptions!$D$140)
  /Assumptions!$E$158,0)</f>
        <v>202</v>
      </c>
      <c r="G67" s="203">
        <f>ROUND(
  ($C$23/(1+$B67)^0.5 + $D$23/(1+$B67)^1.5 + $E$23/(1+$B67)^2.5 + $F$23/(1+$B67)^3.5
  +$C$34/(1+$B67)^4.5 + $D$34/(1+$B67)^5.5 + $E$34/(1+$B67)^6.5 + $F$34/(1+$B67)^7.5
  +$G$34/(1+$B67)^8.5 + $H$34/(1+$B67)^9.5 + $I$34/(1+$B67)^10.5
  +$I$34*(1+G$64)/($B67-G$64)/(1+$B67)^11
  +Assumptions!$D$138-Assumptions!$D$140)
  /Assumptions!$E$158,0)</f>
        <v>211</v>
      </c>
      <c r="H67" s="203">
        <f>ROUND(
  ($C$23/(1+$B67)^0.5 + $D$23/(1+$B67)^1.5 + $E$23/(1+$B67)^2.5 + $F$23/(1+$B67)^3.5
  +$C$34/(1+$B67)^4.5 + $D$34/(1+$B67)^5.5 + $E$34/(1+$B67)^6.5 + $F$34/(1+$B67)^7.5
  +$G$34/(1+$B67)^8.5 + $H$34/(1+$B67)^9.5 + $I$34/(1+$B67)^10.5
  +$I$34*(1+H$64)/($B67-H$64)/(1+$B67)^11
  +Assumptions!$D$138-Assumptions!$D$140)
  /Assumptions!$E$158,0)</f>
        <v>223</v>
      </c>
      <c r="I67" s="203">
        <f>ROUND(
  ($C$23/(1+$B67)^0.5 + $D$23/(1+$B67)^1.5 + $E$23/(1+$B67)^2.5 + $F$23/(1+$B67)^3.5
  +$C$34/(1+$B67)^4.5 + $D$34/(1+$B67)^5.5 + $E$34/(1+$B67)^6.5 + $F$34/(1+$B67)^7.5
  +$G$34/(1+$B67)^8.5 + $H$34/(1+$B67)^9.5 + $I$34/(1+$B67)^10.5
  +$I$34*(1+I$64)/($B67-I$64)/(1+$B67)^11
  +Assumptions!$D$138-Assumptions!$D$140)
  /Assumptions!$E$158,0)</f>
        <v>236</v>
      </c>
    </row>
    <row r="68" spans="2:10">
      <c r="B68" s="202">
        <v>0.13</v>
      </c>
      <c r="C68" s="203">
        <f>ROUND(
  ($C$23/(1+$B68)^0.5 + $D$23/(1+$B68)^1.5 + $E$23/(1+$B68)^2.5 + $F$23/(1+$B68)^3.5
  +$C$34/(1+$B68)^4.5 + $D$34/(1+$B68)^5.5 + $E$34/(1+$B68)^6.5 + $F$34/(1+$B68)^7.5
  +$G$34/(1+$B68)^8.5 + $H$34/(1+$B68)^9.5 + $I$34/(1+$B68)^10.5
  +$I$34*(1+C$64)/($B68-C$64)/(1+$B68)^11
  +Assumptions!$D$138-Assumptions!$D$140)
  /Assumptions!$E$158,0)</f>
        <v>168</v>
      </c>
      <c r="D68" s="203">
        <f>ROUND(
  ($C$23/(1+$B68)^0.5 + $D$23/(1+$B68)^1.5 + $E$23/(1+$B68)^2.5 + $F$23/(1+$B68)^3.5
  +$C$34/(1+$B68)^4.5 + $D$34/(1+$B68)^5.5 + $E$34/(1+$B68)^6.5 + $F$34/(1+$B68)^7.5
  +$G$34/(1+$B68)^8.5 + $H$34/(1+$B68)^9.5 + $I$34/(1+$B68)^10.5
  +$I$34*(1+D$64)/($B68-D$64)/(1+$B68)^11
  +Assumptions!$D$138-Assumptions!$D$140)
  /Assumptions!$E$158,0)</f>
        <v>173</v>
      </c>
      <c r="E68" s="203">
        <f>ROUND(
  ($C$23/(1+$B68)^0.5 + $D$23/(1+$B68)^1.5 + $E$23/(1+$B68)^2.5 + $F$23/(1+$B68)^3.5
  +$C$34/(1+$B68)^4.5 + $D$34/(1+$B68)^5.5 + $E$34/(1+$B68)^6.5 + $F$34/(1+$B68)^7.5
  +$G$34/(1+$B68)^8.5 + $H$34/(1+$B68)^9.5 + $I$34/(1+$B68)^10.5
  +$I$34*(1+E$64)/($B68-E$64)/(1+$B68)^11
  +Assumptions!$D$138-Assumptions!$D$140)
  /Assumptions!$E$158,0)</f>
        <v>179</v>
      </c>
      <c r="F68" s="203">
        <f>ROUND(
  ($C$23/(1+$B68)^0.5 + $D$23/(1+$B68)^1.5 + $E$23/(1+$B68)^2.5 + $F$23/(1+$B68)^3.5
  +$C$34/(1+$B68)^4.5 + $D$34/(1+$B68)^5.5 + $E$34/(1+$B68)^6.5 + $F$34/(1+$B68)^7.5
  +$G$34/(1+$B68)^8.5 + $H$34/(1+$B68)^9.5 + $I$34/(1+$B68)^10.5
  +$I$34*(1+F$64)/($B68-F$64)/(1+$B68)^11
  +Assumptions!$D$138-Assumptions!$D$140)
  /Assumptions!$E$158,0)</f>
        <v>186</v>
      </c>
      <c r="G68" s="203">
        <f>ROUND(
  ($C$23/(1+$B68)^0.5 + $D$23/(1+$B68)^1.5 + $E$23/(1+$B68)^2.5 + $F$23/(1+$B68)^3.5
  +$C$34/(1+$B68)^4.5 + $D$34/(1+$B68)^5.5 + $E$34/(1+$B68)^6.5 + $F$34/(1+$B68)^7.5
  +$G$34/(1+$B68)^8.5 + $H$34/(1+$B68)^9.5 + $I$34/(1+$B68)^10.5
  +$I$34*(1+G$64)/($B68-G$64)/(1+$B68)^11
  +Assumptions!$D$138-Assumptions!$D$140)
  /Assumptions!$E$158,0)</f>
        <v>195</v>
      </c>
      <c r="H68" s="203">
        <f>ROUND(
  ($C$23/(1+$B68)^0.5 + $D$23/(1+$B68)^1.5 + $E$23/(1+$B68)^2.5 + $F$23/(1+$B68)^3.5
  +$C$34/(1+$B68)^4.5 + $D$34/(1+$B68)^5.5 + $E$34/(1+$B68)^6.5 + $F$34/(1+$B68)^7.5
  +$G$34/(1+$B68)^8.5 + $H$34/(1+$B68)^9.5 + $I$34/(1+$B68)^10.5
  +$I$34*(1+H$64)/($B68-H$64)/(1+$B68)^11
  +Assumptions!$D$138-Assumptions!$D$140)
  /Assumptions!$E$158,0)</f>
        <v>204</v>
      </c>
      <c r="I68" s="203">
        <f>ROUND(
  ($C$23/(1+$B68)^0.5 + $D$23/(1+$B68)^1.5 + $E$23/(1+$B68)^2.5 + $F$23/(1+$B68)^3.5
  +$C$34/(1+$B68)^4.5 + $D$34/(1+$B68)^5.5 + $E$34/(1+$B68)^6.5 + $F$34/(1+$B68)^7.5
  +$G$34/(1+$B68)^8.5 + $H$34/(1+$B68)^9.5 + $I$34/(1+$B68)^10.5
  +$I$34*(1+I$64)/($B68-I$64)/(1+$B68)^11
  +Assumptions!$D$138-Assumptions!$D$140)
  /Assumptions!$E$158,0)</f>
        <v>215</v>
      </c>
    </row>
    <row r="69" spans="2:10">
      <c r="B69" s="202">
        <v>0.14499999999999999</v>
      </c>
      <c r="C69" s="203">
        <f>ROUND(
  ($C$23/(1+$B69)^0.5 + $D$23/(1+$B69)^1.5 + $E$23/(1+$B69)^2.5 + $F$23/(1+$B69)^3.5
  +$C$34/(1+$B69)^4.5 + $D$34/(1+$B69)^5.5 + $E$34/(1+$B69)^6.5 + $F$34/(1+$B69)^7.5
  +$G$34/(1+$B69)^8.5 + $H$34/(1+$B69)^9.5 + $I$34/(1+$B69)^10.5
  +$I$34*(1+C$64)/($B69-C$64)/(1+$B69)^11
  +Assumptions!$D$138-Assumptions!$D$140)
  /Assumptions!$E$158,0)</f>
        <v>140</v>
      </c>
      <c r="D69" s="203">
        <f>ROUND(
  ($C$23/(1+$B69)^0.5 + $D$23/(1+$B69)^1.5 + $E$23/(1+$B69)^2.5 + $F$23/(1+$B69)^3.5
  +$C$34/(1+$B69)^4.5 + $D$34/(1+$B69)^5.5 + $E$34/(1+$B69)^6.5 + $F$34/(1+$B69)^7.5
  +$G$34/(1+$B69)^8.5 + $H$34/(1+$B69)^9.5 + $I$34/(1+$B69)^10.5
  +$I$34*(1+D$64)/($B69-D$64)/(1+$B69)^11
  +Assumptions!$D$138-Assumptions!$D$140)
  /Assumptions!$E$158,0)</f>
        <v>143</v>
      </c>
      <c r="E69" s="203">
        <f>ROUND(
  ($C$23/(1+$B69)^0.5 + $D$23/(1+$B69)^1.5 + $E$23/(1+$B69)^2.5 + $F$23/(1+$B69)^3.5
  +$C$34/(1+$B69)^4.5 + $D$34/(1+$B69)^5.5 + $E$34/(1+$B69)^6.5 + $F$34/(1+$B69)^7.5
  +$G$34/(1+$B69)^8.5 + $H$34/(1+$B69)^9.5 + $I$34/(1+$B69)^10.5
  +$I$34*(1+E$64)/($B69-E$64)/(1+$B69)^11
  +Assumptions!$D$138-Assumptions!$D$140)
  /Assumptions!$E$158,0)</f>
        <v>147</v>
      </c>
      <c r="F69" s="203">
        <f>ROUND(
  ($C$23/(1+$B69)^0.5 + $D$23/(1+$B69)^1.5 + $E$23/(1+$B69)^2.5 + $F$23/(1+$B69)^3.5
  +$C$34/(1+$B69)^4.5 + $D$34/(1+$B69)^5.5 + $E$34/(1+$B69)^6.5 + $F$34/(1+$B69)^7.5
  +$G$34/(1+$B69)^8.5 + $H$34/(1+$B69)^9.5 + $I$34/(1+$B69)^10.5
  +$I$34*(1+F$64)/($B69-F$64)/(1+$B69)^11
  +Assumptions!$D$138-Assumptions!$D$140)
  /Assumptions!$E$158,0)</f>
        <v>151</v>
      </c>
      <c r="G69" s="203">
        <f>ROUND(
  ($C$23/(1+$B69)^0.5 + $D$23/(1+$B69)^1.5 + $E$23/(1+$B69)^2.5 + $F$23/(1+$B69)^3.5
  +$C$34/(1+$B69)^4.5 + $D$34/(1+$B69)^5.5 + $E$34/(1+$B69)^6.5 + $F$34/(1+$B69)^7.5
  +$G$34/(1+$B69)^8.5 + $H$34/(1+$B69)^9.5 + $I$34/(1+$B69)^10.5
  +$I$34*(1+G$64)/($B69-G$64)/(1+$B69)^11
  +Assumptions!$D$138-Assumptions!$D$140)
  /Assumptions!$E$158,0)</f>
        <v>156</v>
      </c>
      <c r="H69" s="203">
        <f>ROUND(
  ($C$23/(1+$B69)^0.5 + $D$23/(1+$B69)^1.5 + $E$23/(1+$B69)^2.5 + $F$23/(1+$B69)^3.5
  +$C$34/(1+$B69)^4.5 + $D$34/(1+$B69)^5.5 + $E$34/(1+$B69)^6.5 + $F$34/(1+$B69)^7.5
  +$G$34/(1+$B69)^8.5 + $H$34/(1+$B69)^9.5 + $I$34/(1+$B69)^10.5
  +$I$34*(1+H$64)/($B69-H$64)/(1+$B69)^11
  +Assumptions!$D$138-Assumptions!$D$140)
  /Assumptions!$E$158,0)</f>
        <v>162</v>
      </c>
      <c r="I69" s="203">
        <f>ROUND(
  ($C$23/(1+$B69)^0.5 + $D$23/(1+$B69)^1.5 + $E$23/(1+$B69)^2.5 + $F$23/(1+$B69)^3.5
  +$C$34/(1+$B69)^4.5 + $D$34/(1+$B69)^5.5 + $E$34/(1+$B69)^6.5 + $F$34/(1+$B69)^7.5
  +$G$34/(1+$B69)^8.5 + $H$34/(1+$B69)^9.5 + $I$34/(1+$B69)^10.5
  +$I$34*(1+I$64)/($B69-I$64)/(1+$B69)^11
  +Assumptions!$D$138-Assumptions!$D$140)
  /Assumptions!$E$158,0)</f>
        <v>168</v>
      </c>
    </row>
    <row r="70" spans="2:10">
      <c r="B70" s="202">
        <v>0.15</v>
      </c>
      <c r="C70" s="203">
        <f>ROUND(
  ($C$23/(1+$B70)^0.5 + $D$23/(1+$B70)^1.5 + $E$23/(1+$B70)^2.5 + $F$23/(1+$B70)^3.5
  +$C$34/(1+$B70)^4.5 + $D$34/(1+$B70)^5.5 + $E$34/(1+$B70)^6.5 + $F$34/(1+$B70)^7.5
  +$G$34/(1+$B70)^8.5 + $H$34/(1+$B70)^9.5 + $I$34/(1+$B70)^10.5
  +$I$34*(1+C$64)/($B70-C$64)/(1+$B70)^11
  +Assumptions!$D$138-Assumptions!$D$140)
  /Assumptions!$E$158,0)</f>
        <v>132</v>
      </c>
      <c r="D70" s="203">
        <f>ROUND(
  ($C$23/(1+$B70)^0.5 + $D$23/(1+$B70)^1.5 + $E$23/(1+$B70)^2.5 + $F$23/(1+$B70)^3.5
  +$C$34/(1+$B70)^4.5 + $D$34/(1+$B70)^5.5 + $E$34/(1+$B70)^6.5 + $F$34/(1+$B70)^7.5
  +$G$34/(1+$B70)^8.5 + $H$34/(1+$B70)^9.5 + $I$34/(1+$B70)^10.5
  +$I$34*(1+D$64)/($B70-D$64)/(1+$B70)^11
  +Assumptions!$D$138-Assumptions!$D$140)
  /Assumptions!$E$158,0)</f>
        <v>135</v>
      </c>
      <c r="E70" s="203">
        <f>ROUND(
  ($C$23/(1+$B70)^0.5 + $D$23/(1+$B70)^1.5 + $E$23/(1+$B70)^2.5 + $F$23/(1+$B70)^3.5
  +$C$34/(1+$B70)^4.5 + $D$34/(1+$B70)^5.5 + $E$34/(1+$B70)^6.5 + $F$34/(1+$B70)^7.5
  +$G$34/(1+$B70)^8.5 + $H$34/(1+$B70)^9.5 + $I$34/(1+$B70)^10.5
  +$I$34*(1+E$64)/($B70-E$64)/(1+$B70)^11
  +Assumptions!$D$138-Assumptions!$D$140)
  /Assumptions!$E$158,0)</f>
        <v>139</v>
      </c>
      <c r="F70" s="203">
        <f>ROUND(
  ($C$23/(1+$B70)^0.5 + $D$23/(1+$B70)^1.5 + $E$23/(1+$B70)^2.5 + $F$23/(1+$B70)^3.5
  +$C$34/(1+$B70)^4.5 + $D$34/(1+$B70)^5.5 + $E$34/(1+$B70)^6.5 + $F$34/(1+$B70)^7.5
  +$G$34/(1+$B70)^8.5 + $H$34/(1+$B70)^9.5 + $I$34/(1+$B70)^10.5
  +$I$34*(1+F$64)/($B70-F$64)/(1+$B70)^11
  +Assumptions!$D$138-Assumptions!$D$140)
  /Assumptions!$E$158,0)</f>
        <v>142</v>
      </c>
      <c r="G70" s="203">
        <f>ROUND(
  ($C$23/(1+$B70)^0.5 + $D$23/(1+$B70)^1.5 + $E$23/(1+$B70)^2.5 + $F$23/(1+$B70)^3.5
  +$C$34/(1+$B70)^4.5 + $D$34/(1+$B70)^5.5 + $E$34/(1+$B70)^6.5 + $F$34/(1+$B70)^7.5
  +$G$34/(1+$B70)^8.5 + $H$34/(1+$B70)^9.5 + $I$34/(1+$B70)^10.5
  +$I$34*(1+G$64)/($B70-G$64)/(1+$B70)^11
  +Assumptions!$D$138-Assumptions!$D$140)
  /Assumptions!$E$158,0)</f>
        <v>146</v>
      </c>
      <c r="H70" s="203">
        <f>ROUND(
  ($C$23/(1+$B70)^0.5 + $D$23/(1+$B70)^1.5 + $E$23/(1+$B70)^2.5 + $F$23/(1+$B70)^3.5
  +$C$34/(1+$B70)^4.5 + $D$34/(1+$B70)^5.5 + $E$34/(1+$B70)^6.5 + $F$34/(1+$B70)^7.5
  +$G$34/(1+$B70)^8.5 + $H$34/(1+$B70)^9.5 + $I$34/(1+$B70)^10.5
  +$I$34*(1+H$64)/($B70-H$64)/(1+$B70)^11
  +Assumptions!$D$138-Assumptions!$D$140)
  /Assumptions!$E$158,0)</f>
        <v>151</v>
      </c>
      <c r="I70" s="203">
        <f>ROUND(
  ($C$23/(1+$B70)^0.5 + $D$23/(1+$B70)^1.5 + $E$23/(1+$B70)^2.5 + $F$23/(1+$B70)^3.5
  +$C$34/(1+$B70)^4.5 + $D$34/(1+$B70)^5.5 + $E$34/(1+$B70)^6.5 + $F$34/(1+$B70)^7.5
  +$G$34/(1+$B70)^8.5 + $H$34/(1+$B70)^9.5 + $I$34/(1+$B70)^10.5
  +$I$34*(1+I$64)/($B70-I$64)/(1+$B70)^11
  +Assumptions!$D$138-Assumptions!$D$140)
  /Assumptions!$E$158,0)</f>
        <v>156</v>
      </c>
    </row>
    <row r="72" spans="2:10">
      <c r="B72" s="754" t="s">
        <v>898</v>
      </c>
      <c r="C72" s="754"/>
      <c r="D72" s="754"/>
      <c r="E72" s="754"/>
      <c r="F72" s="754"/>
      <c r="G72" s="754"/>
      <c r="H72" s="754"/>
      <c r="I72" s="754"/>
      <c r="J72" s="754"/>
    </row>
    <row r="74" spans="2:10">
      <c r="B74" s="204" t="s">
        <v>899</v>
      </c>
      <c r="C74" s="200" t="s">
        <v>900</v>
      </c>
      <c r="D74" s="200" t="s">
        <v>901</v>
      </c>
      <c r="F74" s="53"/>
    </row>
    <row r="75" spans="2:10">
      <c r="B75" s="125" t="s">
        <v>77</v>
      </c>
      <c r="C75" s="205" t="str">
        <f>"₹"&amp;ROUND($C$56,0)</f>
        <v>₹149</v>
      </c>
      <c r="D75" s="205" t="str">
        <f>"₹"&amp;ROUND($C$56,0)</f>
        <v>₹149</v>
      </c>
      <c r="F75" s="53"/>
    </row>
    <row r="76" spans="2:10">
      <c r="B76" s="125" t="s">
        <v>73</v>
      </c>
      <c r="C76" s="205" t="str">
        <f>"₹"&amp;ROUND($D$56,0)</f>
        <v>₹170</v>
      </c>
      <c r="D76" s="205" t="str">
        <f>"₹"&amp;ROUND($D$56,0)</f>
        <v>₹170</v>
      </c>
      <c r="F76" s="53"/>
      <c r="J76" s="71"/>
    </row>
    <row r="77" spans="2:10">
      <c r="B77" s="125" t="s">
        <v>75</v>
      </c>
      <c r="C77" s="205" t="str">
        <f>"₹"&amp;ROUND($E$56,0)</f>
        <v>₹229</v>
      </c>
      <c r="D77" s="205" t="str">
        <f>"₹"&amp;ROUND($E$56,0)</f>
        <v>₹229</v>
      </c>
      <c r="F77" s="53"/>
      <c r="J77" s="71"/>
    </row>
    <row r="78" spans="2:10">
      <c r="B78" s="125" t="s">
        <v>902</v>
      </c>
      <c r="C78" s="206" t="s">
        <v>903</v>
      </c>
      <c r="D78" s="206" t="s">
        <v>904</v>
      </c>
      <c r="F78" s="53"/>
      <c r="J78" s="71"/>
    </row>
    <row r="79" spans="2:10" ht="25.5">
      <c r="B79" s="125" t="s">
        <v>905</v>
      </c>
      <c r="C79" s="206" t="s">
        <v>906</v>
      </c>
      <c r="D79" s="206" t="s">
        <v>907</v>
      </c>
      <c r="F79" s="53"/>
      <c r="J79" s="71"/>
    </row>
    <row r="80" spans="2:10">
      <c r="B80" s="125" t="s">
        <v>908</v>
      </c>
      <c r="C80" s="206" t="s">
        <v>909</v>
      </c>
      <c r="D80" s="206" t="s">
        <v>910</v>
      </c>
      <c r="F80" s="53"/>
      <c r="J80" s="71"/>
    </row>
    <row r="81" spans="2:10">
      <c r="B81" s="125" t="s">
        <v>911</v>
      </c>
      <c r="C81" s="206" t="s">
        <v>912</v>
      </c>
      <c r="D81" s="206" t="s">
        <v>912</v>
      </c>
      <c r="F81" s="53"/>
      <c r="J81" s="71"/>
    </row>
    <row r="82" spans="2:10">
      <c r="J82" s="71"/>
    </row>
  </sheetData>
  <mergeCells count="41">
    <mergeCell ref="B48:F48"/>
    <mergeCell ref="B44:C44"/>
    <mergeCell ref="B43:C43"/>
    <mergeCell ref="B42:C42"/>
    <mergeCell ref="B41:C41"/>
    <mergeCell ref="B45:C45"/>
    <mergeCell ref="B62:J62"/>
    <mergeCell ref="B72:J72"/>
    <mergeCell ref="B49:C49"/>
    <mergeCell ref="B50:C50"/>
    <mergeCell ref="B51:C51"/>
    <mergeCell ref="B52:C52"/>
    <mergeCell ref="B53:C53"/>
    <mergeCell ref="B54:C54"/>
    <mergeCell ref="B63:J63"/>
    <mergeCell ref="B4:J4"/>
    <mergeCell ref="B2:J2"/>
    <mergeCell ref="B3:J3"/>
    <mergeCell ref="G22:I22"/>
    <mergeCell ref="G23:I23"/>
    <mergeCell ref="G20:I20"/>
    <mergeCell ref="G21:I21"/>
    <mergeCell ref="F10:I10"/>
    <mergeCell ref="F6:I6"/>
    <mergeCell ref="G16:I16"/>
    <mergeCell ref="G17:I17"/>
    <mergeCell ref="G18:I18"/>
    <mergeCell ref="F12:I12"/>
    <mergeCell ref="B14:J14"/>
    <mergeCell ref="B38:C38"/>
    <mergeCell ref="B46:C46"/>
    <mergeCell ref="F7:I7"/>
    <mergeCell ref="F8:I8"/>
    <mergeCell ref="F9:I9"/>
    <mergeCell ref="F11:I11"/>
    <mergeCell ref="G19:I19"/>
    <mergeCell ref="B25:J25"/>
    <mergeCell ref="B36:J36"/>
    <mergeCell ref="B40:C40"/>
    <mergeCell ref="B39:C39"/>
    <mergeCell ref="G45:J4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92734-5503-47AD-8631-9F8CAE91E4CC}">
  <sheetPr>
    <tabColor theme="0" tint="-0.14999847407452621"/>
  </sheetPr>
  <dimension ref="B2:K55"/>
  <sheetViews>
    <sheetView showGridLines="0" topLeftCell="A37" workbookViewId="0">
      <selection activeCell="K18" sqref="K18"/>
    </sheetView>
  </sheetViews>
  <sheetFormatPr defaultRowHeight="15"/>
  <cols>
    <col min="1" max="1" width="2.28515625" customWidth="1"/>
    <col min="2" max="2" width="34" style="120" customWidth="1"/>
    <col min="3" max="3" width="23.42578125" style="120" customWidth="1"/>
    <col min="4" max="4" width="17.85546875" style="120" customWidth="1"/>
    <col min="5" max="10" width="12.7109375" style="120" customWidth="1"/>
    <col min="11" max="11" width="78.140625" style="120" customWidth="1"/>
  </cols>
  <sheetData>
    <row r="2" spans="2:11" ht="22.5" customHeight="1">
      <c r="B2" s="758" t="s">
        <v>913</v>
      </c>
      <c r="C2" s="758"/>
      <c r="D2" s="758"/>
      <c r="E2" s="758"/>
      <c r="F2" s="758"/>
      <c r="G2" s="758"/>
      <c r="H2" s="758"/>
      <c r="I2" s="758"/>
      <c r="J2" s="758"/>
      <c r="K2" s="758"/>
    </row>
    <row r="3" spans="2:11" ht="15.75">
      <c r="B3" s="792" t="s">
        <v>914</v>
      </c>
      <c r="C3" s="792"/>
      <c r="D3" s="792"/>
      <c r="E3" s="792"/>
      <c r="F3" s="792"/>
      <c r="G3" s="792"/>
      <c r="H3" s="792"/>
      <c r="I3" s="792"/>
      <c r="J3" s="792"/>
      <c r="K3" s="792"/>
    </row>
    <row r="4" spans="2:11">
      <c r="B4" s="144"/>
      <c r="C4" s="145"/>
    </row>
    <row r="5" spans="2:11" ht="15" customHeight="1">
      <c r="B5" s="786" t="s">
        <v>915</v>
      </c>
      <c r="C5" s="786"/>
      <c r="D5" s="786"/>
      <c r="E5" s="786"/>
      <c r="F5" s="786"/>
      <c r="G5" s="786"/>
      <c r="H5" s="786"/>
      <c r="I5" s="786"/>
      <c r="J5" s="786"/>
      <c r="K5" s="786"/>
    </row>
    <row r="6" spans="2:11" ht="15" customHeight="1">
      <c r="B6" s="790" t="s">
        <v>916</v>
      </c>
      <c r="C6" s="790"/>
      <c r="D6" s="790"/>
      <c r="E6" s="790"/>
      <c r="F6" s="790"/>
      <c r="G6" s="790"/>
      <c r="H6" s="790"/>
      <c r="I6" s="790"/>
      <c r="J6" s="790"/>
      <c r="K6" s="790"/>
    </row>
    <row r="7" spans="2:11" s="28" customFormat="1">
      <c r="B7" s="146"/>
      <c r="C7" s="146"/>
      <c r="D7" s="146"/>
      <c r="E7" s="146"/>
      <c r="F7" s="146"/>
      <c r="G7" s="146"/>
      <c r="H7" s="146"/>
      <c r="I7" s="146"/>
      <c r="J7" s="146"/>
      <c r="K7" s="146"/>
    </row>
    <row r="8" spans="2:11" s="28" customFormat="1" ht="15" customHeight="1">
      <c r="B8" s="783" t="s">
        <v>917</v>
      </c>
      <c r="C8" s="783"/>
      <c r="D8" s="783"/>
      <c r="E8" s="783"/>
      <c r="F8" s="783"/>
      <c r="G8" s="783"/>
      <c r="H8" s="783"/>
      <c r="I8" s="783"/>
      <c r="J8" s="783"/>
      <c r="K8" s="783"/>
    </row>
    <row r="9" spans="2:11">
      <c r="B9" s="626" t="s">
        <v>918</v>
      </c>
      <c r="C9" s="626" t="s">
        <v>919</v>
      </c>
      <c r="D9" s="605" t="s">
        <v>920</v>
      </c>
      <c r="E9" s="605" t="s">
        <v>921</v>
      </c>
      <c r="F9" s="626" t="s">
        <v>922</v>
      </c>
      <c r="G9" s="626" t="s">
        <v>923</v>
      </c>
      <c r="H9" s="605" t="s">
        <v>924</v>
      </c>
      <c r="I9" s="605" t="s">
        <v>925</v>
      </c>
      <c r="J9" s="605" t="s">
        <v>926</v>
      </c>
      <c r="K9" s="626" t="s">
        <v>927</v>
      </c>
    </row>
    <row r="10" spans="2:11" ht="24">
      <c r="B10" s="824" t="s">
        <v>928</v>
      </c>
      <c r="C10" s="825" t="s">
        <v>929</v>
      </c>
      <c r="D10" s="826">
        <f>' SEGMENT P&amp;L'!H15</f>
        <v>3117.9482736191999</v>
      </c>
      <c r="E10" s="827">
        <v>35</v>
      </c>
      <c r="F10" s="828">
        <v>40</v>
      </c>
      <c r="G10" s="828">
        <v>48</v>
      </c>
      <c r="H10" s="829">
        <f>ROUND(E10*D10,0)</f>
        <v>109128</v>
      </c>
      <c r="I10" s="829">
        <f>ROUND(F10*D10,0)</f>
        <v>124718</v>
      </c>
      <c r="J10" s="829">
        <f>ROUND(G10*D10,0)</f>
        <v>149662</v>
      </c>
      <c r="K10" s="823" t="s">
        <v>930</v>
      </c>
    </row>
    <row r="11" spans="2:11" ht="24">
      <c r="B11" s="824" t="s">
        <v>931</v>
      </c>
      <c r="C11" s="825" t="s">
        <v>932</v>
      </c>
      <c r="D11" s="826">
        <f>' SEGMENT P&amp;L'!H28</f>
        <v>75503</v>
      </c>
      <c r="E11" s="827">
        <v>0.9</v>
      </c>
      <c r="F11" s="828">
        <v>1.2</v>
      </c>
      <c r="G11" s="828">
        <v>1.6</v>
      </c>
      <c r="H11" s="829">
        <f t="shared" ref="H11:H13" si="0">ROUND(E11*D11,0)</f>
        <v>67953</v>
      </c>
      <c r="I11" s="829">
        <f t="shared" ref="I11:I14" si="1">ROUND(F11*D11,0)</f>
        <v>90604</v>
      </c>
      <c r="J11" s="829">
        <f t="shared" ref="J11:J13" si="2">ROUND(G11*D11,0)</f>
        <v>120805</v>
      </c>
      <c r="K11" s="823" t="s">
        <v>933</v>
      </c>
    </row>
    <row r="12" spans="2:11" ht="24">
      <c r="B12" s="824" t="s">
        <v>934</v>
      </c>
      <c r="C12" s="825" t="s">
        <v>935</v>
      </c>
      <c r="D12" s="830">
        <f>' SEGMENT P&amp;L'!H48</f>
        <v>19405.871999999999</v>
      </c>
      <c r="E12" s="827">
        <v>0.5</v>
      </c>
      <c r="F12" s="828">
        <v>0.7</v>
      </c>
      <c r="G12" s="828">
        <v>0.9</v>
      </c>
      <c r="H12" s="829">
        <f t="shared" si="0"/>
        <v>9703</v>
      </c>
      <c r="I12" s="829">
        <f t="shared" si="1"/>
        <v>13584</v>
      </c>
      <c r="J12" s="829">
        <f t="shared" si="2"/>
        <v>17465</v>
      </c>
      <c r="K12" s="823" t="s">
        <v>936</v>
      </c>
    </row>
    <row r="13" spans="2:11" ht="24">
      <c r="B13" s="824" t="s">
        <v>937</v>
      </c>
      <c r="C13" s="825" t="s">
        <v>932</v>
      </c>
      <c r="D13" s="826">
        <f>' SEGMENT P&amp;L'!H57</f>
        <v>27782</v>
      </c>
      <c r="E13" s="827">
        <v>0.2</v>
      </c>
      <c r="F13" s="831">
        <v>0.4</v>
      </c>
      <c r="G13" s="828">
        <v>0.5</v>
      </c>
      <c r="H13" s="829">
        <f t="shared" si="0"/>
        <v>5556</v>
      </c>
      <c r="I13" s="829">
        <f>ROUND(F13*D13,0)</f>
        <v>11113</v>
      </c>
      <c r="J13" s="829">
        <f t="shared" si="2"/>
        <v>13891</v>
      </c>
      <c r="K13" s="823" t="s">
        <v>938</v>
      </c>
    </row>
    <row r="14" spans="2:11" ht="14.25">
      <c r="B14" s="824" t="s">
        <v>939</v>
      </c>
      <c r="C14" s="825" t="s">
        <v>935</v>
      </c>
      <c r="D14" s="826">
        <f>' SEGMENT P&amp;L'!H72</f>
        <v>25</v>
      </c>
      <c r="E14" s="827">
        <v>0.5</v>
      </c>
      <c r="F14" s="828">
        <v>0.5</v>
      </c>
      <c r="G14" s="828">
        <v>0.5</v>
      </c>
      <c r="H14" s="829">
        <f>ROUND(E14*D14,0)</f>
        <v>13</v>
      </c>
      <c r="I14" s="829">
        <f t="shared" si="1"/>
        <v>13</v>
      </c>
      <c r="J14" s="829">
        <f>ROUND(G14*D14,0)</f>
        <v>13</v>
      </c>
      <c r="K14" s="823" t="s">
        <v>940</v>
      </c>
    </row>
    <row r="15" spans="2:11">
      <c r="B15" s="53"/>
      <c r="C15" s="53"/>
      <c r="D15" s="71"/>
      <c r="E15" s="71"/>
      <c r="F15" s="53"/>
      <c r="G15" s="53"/>
      <c r="H15" s="71"/>
      <c r="I15" s="71"/>
      <c r="J15" s="71"/>
      <c r="K15" s="53"/>
    </row>
    <row r="16" spans="2:11">
      <c r="B16" s="785" t="s">
        <v>941</v>
      </c>
      <c r="C16" s="785"/>
      <c r="D16" s="785"/>
      <c r="E16" s="785"/>
      <c r="F16" s="785"/>
      <c r="G16" s="785"/>
      <c r="H16" s="147">
        <f>SUM(H10:H15)</f>
        <v>192353</v>
      </c>
      <c r="I16" s="147">
        <f t="shared" ref="I16:J16" si="3">SUM(I10:I15)</f>
        <v>240032</v>
      </c>
      <c r="J16" s="147">
        <f t="shared" si="3"/>
        <v>301836</v>
      </c>
      <c r="K16" s="53"/>
    </row>
    <row r="17" spans="2:11">
      <c r="B17" s="793" t="s">
        <v>942</v>
      </c>
      <c r="C17" s="793"/>
      <c r="D17" s="793"/>
      <c r="E17" s="793"/>
      <c r="F17" s="793"/>
      <c r="G17" s="793"/>
      <c r="H17" s="148" t="str">
        <f>TEXT(ROUND(H10/H16*100,1),"0.0")&amp;"%"</f>
        <v>56.7%</v>
      </c>
      <c r="I17" s="148" t="str">
        <f>TEXT(ROUND(I10/I16*100,1),"0.0")&amp;"%"</f>
        <v>52.0%</v>
      </c>
      <c r="J17" s="148" t="str">
        <f>TEXT(ROUND(J10/J16*100,1),"0.0")&amp;"%"</f>
        <v>49.6%</v>
      </c>
      <c r="K17" s="53"/>
    </row>
    <row r="18" spans="2:11">
      <c r="B18" s="793" t="s">
        <v>943</v>
      </c>
      <c r="C18" s="793"/>
      <c r="D18" s="793"/>
      <c r="E18" s="793"/>
      <c r="F18" s="793"/>
      <c r="G18" s="793"/>
      <c r="H18" s="148" t="str">
        <f>TEXT(ROUND(H11/H16*100,1),"0.0")&amp;"%"</f>
        <v>35.3%</v>
      </c>
      <c r="I18" s="148" t="str">
        <f>TEXT(ROUND(I11/I16*100,1),"0.0")&amp;"%"</f>
        <v>37.7%</v>
      </c>
      <c r="J18" s="148" t="str">
        <f>TEXT(ROUND(J11/J16*100,1),"0.0")&amp;"%"</f>
        <v>40.0%</v>
      </c>
      <c r="K18" s="53"/>
    </row>
    <row r="19" spans="2:11">
      <c r="B19" s="53"/>
      <c r="C19" s="53"/>
      <c r="D19" s="71"/>
      <c r="E19" s="71"/>
      <c r="F19" s="53"/>
      <c r="G19" s="53"/>
      <c r="H19" s="71"/>
      <c r="I19" s="71"/>
      <c r="J19" s="71"/>
      <c r="K19" s="53"/>
    </row>
    <row r="20" spans="2:11" ht="15.75">
      <c r="B20" s="786" t="s">
        <v>944</v>
      </c>
      <c r="C20" s="786"/>
      <c r="D20" s="786"/>
      <c r="E20" s="786"/>
      <c r="F20" s="786"/>
      <c r="G20" s="786"/>
      <c r="H20" s="786"/>
      <c r="I20" s="786"/>
      <c r="J20" s="786"/>
      <c r="K20" s="786"/>
    </row>
    <row r="21" spans="2:11">
      <c r="B21" s="784" t="s">
        <v>945</v>
      </c>
      <c r="C21" s="784"/>
      <c r="D21" s="784"/>
      <c r="E21" s="784"/>
      <c r="F21" s="784"/>
      <c r="G21" s="784"/>
      <c r="H21" s="92">
        <f>H16</f>
        <v>192353</v>
      </c>
      <c r="I21" s="92">
        <f t="shared" ref="I21:J21" si="4">I16</f>
        <v>240032</v>
      </c>
      <c r="J21" s="92">
        <f t="shared" si="4"/>
        <v>301836</v>
      </c>
      <c r="K21" s="53"/>
    </row>
    <row r="22" spans="2:11">
      <c r="B22" s="784" t="s">
        <v>946</v>
      </c>
      <c r="C22" s="784"/>
      <c r="D22" s="784"/>
      <c r="E22" s="784"/>
      <c r="F22" s="784"/>
      <c r="G22" s="784"/>
      <c r="H22" s="92">
        <f>'DCF + Sensitivity'!D50</f>
        <v>16806</v>
      </c>
      <c r="I22" s="92">
        <f>'DCF + Sensitivity'!E50</f>
        <v>16806</v>
      </c>
      <c r="J22" s="92">
        <f>'DCF + Sensitivity'!F50</f>
        <v>16806</v>
      </c>
      <c r="K22" s="53"/>
    </row>
    <row r="23" spans="2:11">
      <c r="B23" s="784" t="s">
        <v>947</v>
      </c>
      <c r="C23" s="784"/>
      <c r="D23" s="784"/>
      <c r="E23" s="784"/>
      <c r="F23" s="784"/>
      <c r="G23" s="784"/>
      <c r="H23" s="88">
        <f>'DCF + Sensitivity'!D51</f>
        <v>-2045</v>
      </c>
      <c r="I23" s="88">
        <f>'DCF + Sensitivity'!E51</f>
        <v>-2045</v>
      </c>
      <c r="J23" s="88">
        <f>'DCF + Sensitivity'!F51</f>
        <v>-2045</v>
      </c>
      <c r="K23" s="53"/>
    </row>
    <row r="24" spans="2:11">
      <c r="B24" s="784" t="s">
        <v>948</v>
      </c>
      <c r="C24" s="784"/>
      <c r="D24" s="784"/>
      <c r="E24" s="784"/>
      <c r="F24" s="784"/>
      <c r="G24" s="784"/>
      <c r="H24" s="301">
        <f>'DCF + Sensitivity'!D52</f>
        <v>0</v>
      </c>
      <c r="I24" s="301">
        <f>'DCF + Sensitivity'!E52</f>
        <v>0</v>
      </c>
      <c r="J24" s="301">
        <f>'DCF + Sensitivity'!F52</f>
        <v>0</v>
      </c>
      <c r="K24" s="110"/>
    </row>
    <row r="25" spans="2:11">
      <c r="B25" s="627"/>
      <c r="C25" s="627"/>
      <c r="D25" s="627"/>
      <c r="E25" s="627"/>
      <c r="F25" s="627"/>
      <c r="G25" s="627"/>
      <c r="H25" s="301"/>
      <c r="I25" s="301"/>
      <c r="J25" s="301"/>
      <c r="K25" s="110"/>
    </row>
    <row r="26" spans="2:11">
      <c r="B26" s="785" t="s">
        <v>889</v>
      </c>
      <c r="C26" s="785"/>
      <c r="D26" s="785"/>
      <c r="E26" s="785"/>
      <c r="F26" s="785"/>
      <c r="G26" s="785"/>
      <c r="H26" s="147">
        <f>H21+H22+H23+H24</f>
        <v>207114</v>
      </c>
      <c r="I26" s="147">
        <f t="shared" ref="I26:J26" si="5">I21+I22+I23+I24</f>
        <v>254793</v>
      </c>
      <c r="J26" s="147">
        <f t="shared" si="5"/>
        <v>316597</v>
      </c>
      <c r="K26" s="53"/>
    </row>
    <row r="27" spans="2:11">
      <c r="B27" s="784" t="s">
        <v>949</v>
      </c>
      <c r="C27" s="784"/>
      <c r="D27" s="784"/>
      <c r="E27" s="784"/>
      <c r="F27" s="784"/>
      <c r="G27" s="784"/>
      <c r="H27" s="301">
        <f>'DCF + Sensitivity'!D54</f>
        <v>940</v>
      </c>
      <c r="I27" s="301">
        <f>'DCF + Sensitivity'!E54</f>
        <v>940</v>
      </c>
      <c r="J27" s="301">
        <f>'DCF + Sensitivity'!F54</f>
        <v>940</v>
      </c>
      <c r="K27" s="53"/>
    </row>
    <row r="28" spans="2:11">
      <c r="B28" s="53"/>
      <c r="C28" s="53"/>
      <c r="D28" s="71"/>
      <c r="E28" s="71"/>
      <c r="F28" s="53"/>
      <c r="G28" s="53"/>
      <c r="H28" s="71"/>
      <c r="I28" s="71"/>
      <c r="J28" s="71"/>
      <c r="K28" s="53"/>
    </row>
    <row r="29" spans="2:11" ht="15.75">
      <c r="B29" s="786" t="s">
        <v>950</v>
      </c>
      <c r="C29" s="786"/>
      <c r="D29" s="786"/>
      <c r="E29" s="786"/>
      <c r="F29" s="786"/>
      <c r="G29" s="786"/>
      <c r="H29" s="786"/>
      <c r="I29" s="786"/>
      <c r="J29" s="786"/>
      <c r="K29" s="786"/>
    </row>
    <row r="30" spans="2:11">
      <c r="B30" s="626" t="s">
        <v>46</v>
      </c>
      <c r="C30" s="626" t="s">
        <v>459</v>
      </c>
      <c r="D30" s="605" t="s">
        <v>460</v>
      </c>
      <c r="E30" s="605" t="s">
        <v>461</v>
      </c>
      <c r="F30" s="750" t="s">
        <v>71</v>
      </c>
      <c r="G30" s="750"/>
      <c r="H30" s="750"/>
      <c r="I30" s="71"/>
      <c r="J30" s="71"/>
      <c r="K30" s="53"/>
    </row>
    <row r="31" spans="2:11">
      <c r="B31" s="198" t="s">
        <v>951</v>
      </c>
      <c r="C31" s="645">
        <f>H26</f>
        <v>207114</v>
      </c>
      <c r="D31" s="645">
        <f t="shared" ref="D31:E31" si="6">I26</f>
        <v>254793</v>
      </c>
      <c r="E31" s="645">
        <f t="shared" si="6"/>
        <v>316597</v>
      </c>
      <c r="F31" s="791" t="s">
        <v>952</v>
      </c>
      <c r="G31" s="791"/>
      <c r="H31" s="791"/>
      <c r="I31" s="71"/>
      <c r="J31" s="71"/>
      <c r="K31" s="53"/>
    </row>
    <row r="32" spans="2:11" ht="14.25">
      <c r="B32" s="606" t="s">
        <v>953</v>
      </c>
      <c r="C32" s="609">
        <f>ROUND(H26/H27,0)</f>
        <v>220</v>
      </c>
      <c r="D32" s="609">
        <f t="shared" ref="D32:E32" si="7">ROUND(I26/I27,0)</f>
        <v>271</v>
      </c>
      <c r="E32" s="609">
        <f t="shared" si="7"/>
        <v>337</v>
      </c>
      <c r="F32" s="787" t="s">
        <v>954</v>
      </c>
      <c r="G32" s="787"/>
      <c r="H32" s="787"/>
      <c r="I32" s="71"/>
      <c r="J32" s="71"/>
      <c r="K32" s="53"/>
    </row>
    <row r="33" spans="2:11" ht="15" customHeight="1">
      <c r="B33" s="125" t="s">
        <v>955</v>
      </c>
      <c r="C33" s="610">
        <v>249</v>
      </c>
      <c r="D33" s="116">
        <v>249</v>
      </c>
      <c r="E33" s="116">
        <v>249</v>
      </c>
      <c r="F33" s="774" t="s">
        <v>956</v>
      </c>
      <c r="G33" s="775"/>
      <c r="H33" s="776"/>
      <c r="I33" s="71"/>
      <c r="J33" s="71"/>
      <c r="K33" s="53"/>
    </row>
    <row r="34" spans="2:11">
      <c r="B34" s="125" t="s">
        <v>893</v>
      </c>
      <c r="C34" s="611" t="str">
        <f>TEXT(ROUND((C32/C33-1)*100,1),"0.0")&amp;"%"</f>
        <v>-11.6%</v>
      </c>
      <c r="D34" s="611" t="str">
        <f t="shared" ref="D34:E34" si="8">TEXT(ROUND((D32/D33-1)*100,1),"0.0")&amp;"%"</f>
        <v>8.8%</v>
      </c>
      <c r="E34" s="611" t="str">
        <f t="shared" si="8"/>
        <v>35.3%</v>
      </c>
      <c r="F34" s="777"/>
      <c r="G34" s="778"/>
      <c r="H34" s="779"/>
      <c r="I34" s="71"/>
      <c r="J34" s="71"/>
      <c r="K34" s="53"/>
    </row>
    <row r="35" spans="2:11">
      <c r="B35" s="125" t="s">
        <v>957</v>
      </c>
      <c r="C35" s="138" t="str">
        <f>TEXT(ROUND(H16/' SEGMENT P&amp;L'!$H$73,1),"0.0")&amp;"x"</f>
        <v>29.5x</v>
      </c>
      <c r="D35" s="138" t="str">
        <f>TEXT(ROUND(I16/' SEGMENT P&amp;L'!$H$73,1),"0.0")&amp;"x"</f>
        <v>36.8x</v>
      </c>
      <c r="E35" s="138" t="str">
        <f>TEXT(ROUND(J16/' SEGMENT P&amp;L'!$H$73,1),"0.0")&amp;"x"</f>
        <v>46.2x</v>
      </c>
      <c r="F35" s="780"/>
      <c r="G35" s="781"/>
      <c r="H35" s="782"/>
      <c r="I35" s="71"/>
      <c r="J35" s="71"/>
      <c r="K35" s="53"/>
    </row>
    <row r="36" spans="2:11">
      <c r="B36" s="125" t="s">
        <v>958</v>
      </c>
      <c r="C36" s="138" t="str">
        <f>TEXT(ROUND(C32*'DCF + Sensitivity'!$E$54/'3-Statement'!$I$53,1),"0.0")&amp;"x"</f>
        <v>50.9x</v>
      </c>
      <c r="D36" s="138" t="str">
        <f>TEXT(ROUND(D32*'DCF + Sensitivity'!$E$54/'3-Statement'!$I$53,1),"0.0")&amp;"x"</f>
        <v>62.7x</v>
      </c>
      <c r="E36" s="138" t="str">
        <f>TEXT(ROUND(E32*'DCF + Sensitivity'!$E$54/'3-Statement'!$I$53,1),"0.0")&amp;"x"</f>
        <v>77.9x</v>
      </c>
      <c r="F36" s="787" t="s">
        <v>959</v>
      </c>
      <c r="G36" s="787"/>
      <c r="H36" s="787"/>
      <c r="I36" s="71"/>
      <c r="J36" s="71"/>
      <c r="K36" s="53"/>
    </row>
    <row r="37" spans="2:11">
      <c r="B37" s="53"/>
      <c r="C37" s="53"/>
      <c r="D37" s="71"/>
      <c r="E37" s="71"/>
      <c r="F37" s="53"/>
      <c r="G37" s="53"/>
      <c r="H37" s="71"/>
      <c r="I37" s="71"/>
      <c r="J37" s="71"/>
      <c r="K37" s="53"/>
    </row>
    <row r="38" spans="2:11">
      <c r="B38" s="783" t="s">
        <v>960</v>
      </c>
      <c r="C38" s="783"/>
      <c r="D38" s="783"/>
      <c r="E38" s="783"/>
      <c r="F38" s="783"/>
      <c r="G38" s="783"/>
      <c r="H38" s="783"/>
      <c r="I38" s="783"/>
      <c r="J38" s="783"/>
      <c r="K38" s="783"/>
    </row>
    <row r="39" spans="2:11">
      <c r="B39" s="121" t="s">
        <v>961</v>
      </c>
      <c r="C39" s="159" t="s">
        <v>962</v>
      </c>
      <c r="D39" s="153" t="s">
        <v>963</v>
      </c>
      <c r="E39" s="153" t="s">
        <v>964</v>
      </c>
      <c r="F39" s="159" t="s">
        <v>965</v>
      </c>
      <c r="G39" s="750" t="s">
        <v>966</v>
      </c>
      <c r="H39" s="750"/>
      <c r="I39" s="750"/>
      <c r="J39" s="750"/>
      <c r="K39" s="53"/>
    </row>
    <row r="40" spans="2:11" ht="14.25">
      <c r="B40" s="125" t="s">
        <v>967</v>
      </c>
      <c r="C40" s="607">
        <f>'DCF + Sensitivity'!C56</f>
        <v>148.7406906230689</v>
      </c>
      <c r="D40" s="607">
        <f>'DCF + Sensitivity'!D56</f>
        <v>170.1738332437375</v>
      </c>
      <c r="E40" s="607">
        <f>'DCF + Sensitivity'!E56</f>
        <v>229.31404618788906</v>
      </c>
      <c r="F40" s="608">
        <v>0.6</v>
      </c>
      <c r="G40" s="787" t="s">
        <v>968</v>
      </c>
      <c r="H40" s="787"/>
      <c r="I40" s="787"/>
      <c r="J40" s="787"/>
      <c r="K40" s="53"/>
    </row>
    <row r="41" spans="2:11" ht="14.25">
      <c r="B41" s="125" t="s">
        <v>88</v>
      </c>
      <c r="C41" s="125">
        <f>C32</f>
        <v>220</v>
      </c>
      <c r="D41" s="125">
        <f t="shared" ref="D41:E41" si="9">D32</f>
        <v>271</v>
      </c>
      <c r="E41" s="125">
        <f t="shared" si="9"/>
        <v>337</v>
      </c>
      <c r="F41" s="608">
        <v>0.4</v>
      </c>
      <c r="G41" s="787" t="s">
        <v>969</v>
      </c>
      <c r="H41" s="787"/>
      <c r="I41" s="787"/>
      <c r="J41" s="787"/>
      <c r="K41" s="53"/>
    </row>
    <row r="42" spans="2:11">
      <c r="B42" s="53"/>
      <c r="C42" s="53"/>
      <c r="D42" s="71"/>
      <c r="E42" s="71"/>
      <c r="F42" s="53"/>
      <c r="G42" s="53"/>
      <c r="H42" s="71"/>
      <c r="I42" s="71"/>
      <c r="J42" s="71"/>
      <c r="K42" s="53"/>
    </row>
    <row r="43" spans="2:11">
      <c r="B43" s="647" t="s">
        <v>970</v>
      </c>
      <c r="C43" s="647">
        <f>ROUND(C40*0.6+C41*0.4,0)</f>
        <v>177</v>
      </c>
      <c r="D43" s="647">
        <f t="shared" ref="D43:E43" si="10">ROUND(D40*0.6+D41*0.4,0)</f>
        <v>211</v>
      </c>
      <c r="E43" s="647">
        <f t="shared" si="10"/>
        <v>272</v>
      </c>
      <c r="F43" s="53"/>
      <c r="G43" s="53"/>
      <c r="H43" s="53"/>
      <c r="I43" s="53"/>
      <c r="J43" s="71"/>
      <c r="K43" s="53"/>
    </row>
    <row r="44" spans="2:11">
      <c r="B44" s="788" t="s">
        <v>122</v>
      </c>
      <c r="C44" s="788"/>
      <c r="D44" s="646" t="s">
        <v>123</v>
      </c>
      <c r="E44" s="71"/>
      <c r="F44" s="53"/>
      <c r="G44" s="53"/>
      <c r="H44" s="71"/>
      <c r="I44" s="71"/>
      <c r="J44" s="71"/>
      <c r="K44" s="53"/>
    </row>
    <row r="45" spans="2:11">
      <c r="B45" s="789" t="s">
        <v>971</v>
      </c>
      <c r="C45" s="789"/>
      <c r="D45" s="612">
        <f>D43</f>
        <v>211</v>
      </c>
      <c r="E45" s="71"/>
      <c r="F45" s="53"/>
      <c r="G45" s="53"/>
      <c r="H45" s="71"/>
      <c r="I45" s="71"/>
      <c r="J45" s="71"/>
      <c r="K45" s="53"/>
    </row>
    <row r="46" spans="2:11">
      <c r="B46" s="764" t="s">
        <v>972</v>
      </c>
      <c r="C46" s="764"/>
      <c r="D46" s="116">
        <v>249</v>
      </c>
      <c r="E46" s="71"/>
      <c r="F46" s="53"/>
      <c r="G46" s="53"/>
      <c r="H46" s="71"/>
      <c r="I46" s="71"/>
      <c r="J46" s="71"/>
      <c r="K46" s="53"/>
    </row>
    <row r="47" spans="2:11">
      <c r="B47" s="764" t="s">
        <v>973</v>
      </c>
      <c r="C47" s="764"/>
      <c r="D47" s="613" t="str">
        <f>TEXT(ROUND((D45/D46-1)*100,1),"0.0")&amp;"%"</f>
        <v>-15.3%</v>
      </c>
      <c r="E47" s="71"/>
      <c r="F47" s="53"/>
      <c r="G47" s="53"/>
      <c r="H47" s="71"/>
      <c r="I47" s="71"/>
      <c r="J47" s="71"/>
      <c r="K47" s="53"/>
    </row>
    <row r="48" spans="2:11">
      <c r="B48" s="53"/>
      <c r="C48" s="53"/>
      <c r="D48" s="71"/>
      <c r="E48" s="71"/>
      <c r="F48" s="53"/>
      <c r="G48" s="53"/>
      <c r="H48" s="71"/>
      <c r="I48" s="71"/>
      <c r="J48" s="71"/>
      <c r="K48" s="53"/>
    </row>
    <row r="49" spans="2:11">
      <c r="B49" s="783" t="s">
        <v>974</v>
      </c>
      <c r="C49" s="783"/>
      <c r="D49" s="783"/>
      <c r="E49" s="783"/>
      <c r="F49" s="783"/>
      <c r="G49" s="783"/>
      <c r="H49" s="783"/>
      <c r="I49" s="783"/>
      <c r="J49" s="783"/>
      <c r="K49" s="783"/>
    </row>
    <row r="50" spans="2:11">
      <c r="B50" s="772" t="s">
        <v>975</v>
      </c>
      <c r="C50" s="772"/>
      <c r="D50" s="772"/>
      <c r="E50" s="772"/>
      <c r="F50" s="772"/>
      <c r="G50" s="772"/>
      <c r="H50" s="772"/>
      <c r="I50" s="772"/>
      <c r="J50" s="772"/>
      <c r="K50" s="772"/>
    </row>
    <row r="51" spans="2:11">
      <c r="B51" s="772" t="s">
        <v>976</v>
      </c>
      <c r="C51" s="772"/>
      <c r="D51" s="772"/>
      <c r="E51" s="772"/>
      <c r="F51" s="772"/>
      <c r="G51" s="772"/>
      <c r="H51" s="772"/>
      <c r="I51" s="772"/>
      <c r="J51" s="772"/>
      <c r="K51" s="772"/>
    </row>
    <row r="52" spans="2:11">
      <c r="B52" s="772" t="s">
        <v>977</v>
      </c>
      <c r="C52" s="772"/>
      <c r="D52" s="772"/>
      <c r="E52" s="772"/>
      <c r="F52" s="772"/>
      <c r="G52" s="772"/>
      <c r="H52" s="772"/>
      <c r="I52" s="772"/>
      <c r="J52" s="772"/>
      <c r="K52" s="772"/>
    </row>
    <row r="53" spans="2:11">
      <c r="B53" s="772" t="s">
        <v>978</v>
      </c>
      <c r="C53" s="772"/>
      <c r="D53" s="772"/>
      <c r="E53" s="772"/>
      <c r="F53" s="772"/>
      <c r="G53" s="772"/>
      <c r="H53" s="772"/>
      <c r="I53" s="772"/>
      <c r="J53" s="772"/>
      <c r="K53" s="772"/>
    </row>
    <row r="54" spans="2:11">
      <c r="B54" s="772" t="s">
        <v>979</v>
      </c>
      <c r="C54" s="772"/>
      <c r="D54" s="772"/>
      <c r="E54" s="772"/>
      <c r="F54" s="772"/>
      <c r="G54" s="772"/>
      <c r="H54" s="772"/>
      <c r="I54" s="772"/>
      <c r="J54" s="772"/>
      <c r="K54" s="772"/>
    </row>
    <row r="55" spans="2:11">
      <c r="B55" s="773" t="s">
        <v>980</v>
      </c>
      <c r="C55" s="773"/>
      <c r="D55" s="773"/>
      <c r="E55" s="773"/>
      <c r="F55" s="773"/>
      <c r="G55" s="773"/>
      <c r="H55" s="773"/>
      <c r="I55" s="773"/>
      <c r="J55" s="773"/>
      <c r="K55" s="773"/>
    </row>
  </sheetData>
  <mergeCells count="36">
    <mergeCell ref="B2:K2"/>
    <mergeCell ref="B6:K6"/>
    <mergeCell ref="F31:H31"/>
    <mergeCell ref="F30:H30"/>
    <mergeCell ref="B22:G22"/>
    <mergeCell ref="B8:K8"/>
    <mergeCell ref="B5:K5"/>
    <mergeCell ref="B3:K3"/>
    <mergeCell ref="B16:G16"/>
    <mergeCell ref="B17:G17"/>
    <mergeCell ref="B18:G18"/>
    <mergeCell ref="B20:K20"/>
    <mergeCell ref="B21:G21"/>
    <mergeCell ref="F32:H32"/>
    <mergeCell ref="F36:H36"/>
    <mergeCell ref="G40:J40"/>
    <mergeCell ref="G41:J41"/>
    <mergeCell ref="G39:J39"/>
    <mergeCell ref="B23:G23"/>
    <mergeCell ref="B24:G24"/>
    <mergeCell ref="B26:G26"/>
    <mergeCell ref="B27:G27"/>
    <mergeCell ref="B29:K29"/>
    <mergeCell ref="B53:K53"/>
    <mergeCell ref="B54:K54"/>
    <mergeCell ref="B55:K55"/>
    <mergeCell ref="F33:H35"/>
    <mergeCell ref="B46:C46"/>
    <mergeCell ref="B47:C47"/>
    <mergeCell ref="B49:K49"/>
    <mergeCell ref="B51:K51"/>
    <mergeCell ref="B52:K52"/>
    <mergeCell ref="B50:K50"/>
    <mergeCell ref="B38:K38"/>
    <mergeCell ref="B44:C44"/>
    <mergeCell ref="B45:C4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46447-61ED-4AA2-B064-A0696B145921}">
  <sheetPr>
    <tabColor rgb="FF3B1F79"/>
  </sheetPr>
  <dimension ref="B2:J60"/>
  <sheetViews>
    <sheetView showGridLines="0" topLeftCell="A34" workbookViewId="0">
      <selection activeCell="F47" sqref="F47"/>
    </sheetView>
  </sheetViews>
  <sheetFormatPr defaultRowHeight="15"/>
  <cols>
    <col min="1" max="1" width="1.85546875" customWidth="1"/>
    <col min="2" max="2" width="26.85546875" style="71" customWidth="1"/>
    <col min="3" max="6" width="15.7109375" style="71" customWidth="1"/>
    <col min="7" max="7" width="15.28515625" style="71" customWidth="1"/>
    <col min="8" max="9" width="9.140625" style="71"/>
    <col min="10" max="10" width="9.140625" style="120"/>
  </cols>
  <sheetData>
    <row r="2" spans="2:10">
      <c r="B2" s="652" t="s">
        <v>981</v>
      </c>
      <c r="C2" s="652"/>
      <c r="D2" s="652"/>
      <c r="E2" s="652"/>
      <c r="F2" s="652"/>
      <c r="G2" s="652"/>
      <c r="H2" s="652"/>
      <c r="I2" s="652"/>
      <c r="J2" s="652"/>
    </row>
    <row r="3" spans="2:10">
      <c r="B3" s="653" t="s">
        <v>982</v>
      </c>
      <c r="C3" s="653"/>
      <c r="D3" s="653"/>
      <c r="E3" s="653"/>
      <c r="F3" s="653"/>
      <c r="G3" s="653"/>
      <c r="H3" s="653"/>
      <c r="I3" s="653"/>
    </row>
    <row r="4" spans="2:10">
      <c r="B4" s="53"/>
      <c r="C4" s="53"/>
      <c r="D4" s="53"/>
      <c r="E4" s="53"/>
      <c r="G4" s="53"/>
    </row>
    <row r="5" spans="2:10">
      <c r="B5" s="654" t="s">
        <v>983</v>
      </c>
      <c r="C5" s="654"/>
      <c r="D5" s="654"/>
      <c r="E5" s="654"/>
      <c r="F5" s="654"/>
      <c r="G5" s="654"/>
      <c r="H5" s="654"/>
      <c r="I5" s="654"/>
      <c r="J5" s="654"/>
    </row>
    <row r="6" spans="2:10">
      <c r="B6" s="121" t="s">
        <v>984</v>
      </c>
      <c r="C6" s="121" t="s">
        <v>985</v>
      </c>
      <c r="D6" s="121" t="s">
        <v>986</v>
      </c>
      <c r="E6" s="121" t="s">
        <v>987</v>
      </c>
      <c r="F6" s="812" t="s">
        <v>988</v>
      </c>
      <c r="G6" s="650" t="s">
        <v>989</v>
      </c>
      <c r="H6" s="650"/>
      <c r="I6" s="650"/>
      <c r="J6" s="650"/>
    </row>
    <row r="7" spans="2:10">
      <c r="B7" s="115" t="s">
        <v>990</v>
      </c>
      <c r="C7" s="115" t="s">
        <v>991</v>
      </c>
      <c r="D7" s="122" t="s">
        <v>912</v>
      </c>
      <c r="E7" s="123">
        <v>240303</v>
      </c>
      <c r="F7" s="813">
        <v>225524</v>
      </c>
      <c r="G7" s="815" t="s">
        <v>992</v>
      </c>
      <c r="H7" s="815"/>
      <c r="I7" s="815"/>
      <c r="J7" s="815"/>
    </row>
    <row r="8" spans="2:10">
      <c r="B8" s="115" t="s">
        <v>993</v>
      </c>
      <c r="C8" s="115" t="s">
        <v>994</v>
      </c>
      <c r="D8" s="122" t="s">
        <v>995</v>
      </c>
      <c r="E8" s="123">
        <v>70767</v>
      </c>
      <c r="F8" s="813">
        <v>69162</v>
      </c>
      <c r="G8" s="815" t="s">
        <v>996</v>
      </c>
      <c r="H8" s="815"/>
      <c r="I8" s="815"/>
      <c r="J8" s="815"/>
    </row>
    <row r="9" spans="2:10">
      <c r="B9" s="115" t="s">
        <v>997</v>
      </c>
      <c r="C9" s="115" t="s">
        <v>998</v>
      </c>
      <c r="D9" s="124">
        <v>195</v>
      </c>
      <c r="E9" s="123">
        <v>646800</v>
      </c>
      <c r="F9" s="813">
        <v>621600</v>
      </c>
      <c r="G9" s="816" t="s">
        <v>999</v>
      </c>
      <c r="H9" s="817"/>
      <c r="I9" s="817"/>
      <c r="J9" s="818"/>
    </row>
    <row r="10" spans="2:10">
      <c r="B10" s="115" t="s">
        <v>1000</v>
      </c>
      <c r="C10" s="115" t="s">
        <v>1001</v>
      </c>
      <c r="D10" s="122" t="s">
        <v>1002</v>
      </c>
      <c r="E10" s="123">
        <v>23000</v>
      </c>
      <c r="F10" s="813">
        <v>22000</v>
      </c>
      <c r="G10" s="815" t="s">
        <v>1003</v>
      </c>
      <c r="H10" s="815"/>
      <c r="I10" s="815"/>
      <c r="J10" s="815"/>
    </row>
    <row r="11" spans="2:10">
      <c r="B11" s="125" t="s">
        <v>1004</v>
      </c>
      <c r="C11" s="125" t="s">
        <v>1005</v>
      </c>
      <c r="D11" s="126">
        <v>29</v>
      </c>
      <c r="E11" s="127">
        <v>117600</v>
      </c>
      <c r="F11" s="814">
        <v>115000</v>
      </c>
      <c r="G11" s="815" t="s">
        <v>1006</v>
      </c>
      <c r="H11" s="815"/>
      <c r="I11" s="815"/>
      <c r="J11" s="815"/>
    </row>
    <row r="12" spans="2:10">
      <c r="B12" s="53"/>
      <c r="C12" s="53"/>
      <c r="D12" s="53"/>
      <c r="E12" s="53"/>
      <c r="G12" s="53"/>
    </row>
    <row r="13" spans="2:10">
      <c r="B13" s="654" t="s">
        <v>1007</v>
      </c>
      <c r="C13" s="654"/>
      <c r="D13" s="654"/>
      <c r="E13" s="654"/>
      <c r="F13" s="654"/>
      <c r="G13" s="654"/>
      <c r="H13" s="654"/>
      <c r="I13" s="654"/>
      <c r="J13" s="654"/>
    </row>
    <row r="14" spans="2:10">
      <c r="B14" s="129" t="s">
        <v>46</v>
      </c>
      <c r="C14" s="129" t="s">
        <v>1008</v>
      </c>
      <c r="D14" s="129" t="s">
        <v>1009</v>
      </c>
      <c r="E14" s="129" t="s">
        <v>1010</v>
      </c>
      <c r="F14" s="130" t="s">
        <v>1011</v>
      </c>
      <c r="G14" s="802" t="s">
        <v>71</v>
      </c>
      <c r="H14" s="803"/>
      <c r="I14" s="803"/>
      <c r="J14" s="803"/>
    </row>
    <row r="15" spans="2:10">
      <c r="B15" s="115" t="s">
        <v>386</v>
      </c>
      <c r="C15" s="123">
        <f>'Historical Financials'!F12</f>
        <v>20243</v>
      </c>
      <c r="D15" s="123">
        <f>'3-Statement'!G7</f>
        <v>28641.421700000003</v>
      </c>
      <c r="E15" s="131">
        <v>11247</v>
      </c>
      <c r="F15" s="810">
        <v>1152232</v>
      </c>
      <c r="G15" s="808" t="s">
        <v>1012</v>
      </c>
      <c r="H15" s="808"/>
      <c r="I15" s="808"/>
      <c r="J15" s="808"/>
    </row>
    <row r="16" spans="2:10">
      <c r="B16" s="115" t="s">
        <v>1013</v>
      </c>
      <c r="C16" s="135">
        <f>'Historical Financials'!F13</f>
        <v>0.67104176985306263</v>
      </c>
      <c r="D16" s="135">
        <f>'3-Statement'!G13</f>
        <v>0.41488028948278433</v>
      </c>
      <c r="E16" s="639">
        <v>0.44900000000000001</v>
      </c>
      <c r="F16" s="822">
        <v>0.27900000000000003</v>
      </c>
      <c r="G16" s="808" t="s">
        <v>1014</v>
      </c>
      <c r="H16" s="808"/>
      <c r="I16" s="808"/>
      <c r="J16" s="808"/>
    </row>
    <row r="17" spans="2:10">
      <c r="B17" s="115" t="s">
        <v>1015</v>
      </c>
      <c r="C17" s="133">
        <f>'3-Statement'!F27</f>
        <v>1079</v>
      </c>
      <c r="D17" s="133">
        <f>'3-Statement'!G27</f>
        <v>2274.8514759999994</v>
      </c>
      <c r="E17" s="134">
        <v>-2786</v>
      </c>
      <c r="F17" s="811">
        <v>129948</v>
      </c>
      <c r="G17" s="808" t="s">
        <v>1016</v>
      </c>
      <c r="H17" s="808"/>
      <c r="I17" s="808"/>
      <c r="J17" s="808"/>
    </row>
    <row r="18" spans="2:10">
      <c r="B18" s="115" t="s">
        <v>59</v>
      </c>
      <c r="C18" s="135">
        <f>'3-Statement'!F28</f>
        <v>5.3302376130020257E-2</v>
      </c>
      <c r="D18" s="135">
        <f>'3-Statement'!G28</f>
        <v>7.9425228950837978E-2</v>
      </c>
      <c r="E18" s="132">
        <v>-0.248</v>
      </c>
      <c r="F18" s="136">
        <v>0.113</v>
      </c>
      <c r="G18" s="809" t="s">
        <v>1017</v>
      </c>
      <c r="H18" s="809"/>
      <c r="I18" s="809"/>
      <c r="J18" s="809"/>
    </row>
    <row r="19" spans="2:10">
      <c r="B19" s="115" t="s">
        <v>315</v>
      </c>
      <c r="C19" s="133">
        <f>'3-Statement'!F53</f>
        <v>527</v>
      </c>
      <c r="D19" s="133">
        <f>'3-Statement'!G53</f>
        <v>1593.8514759999994</v>
      </c>
      <c r="E19" s="134">
        <v>-3117</v>
      </c>
      <c r="F19" s="811">
        <v>78540</v>
      </c>
      <c r="G19" s="808" t="s">
        <v>1018</v>
      </c>
      <c r="H19" s="808"/>
      <c r="I19" s="808"/>
      <c r="J19" s="808"/>
    </row>
    <row r="20" spans="2:10">
      <c r="B20" s="53"/>
      <c r="C20" s="53"/>
      <c r="D20" s="53"/>
      <c r="E20" s="53"/>
      <c r="G20" s="53"/>
    </row>
    <row r="21" spans="2:10">
      <c r="B21" s="654" t="s">
        <v>1019</v>
      </c>
      <c r="C21" s="654"/>
      <c r="D21" s="654"/>
      <c r="E21" s="654"/>
      <c r="F21" s="654"/>
      <c r="G21" s="654"/>
      <c r="H21" s="654"/>
      <c r="I21" s="654"/>
      <c r="J21" s="654"/>
    </row>
    <row r="22" spans="2:10">
      <c r="B22" s="121" t="s">
        <v>1020</v>
      </c>
      <c r="C22" s="121" t="s">
        <v>1021</v>
      </c>
      <c r="D22" s="121" t="s">
        <v>1022</v>
      </c>
      <c r="E22" s="648" t="s">
        <v>1023</v>
      </c>
      <c r="F22" s="804" t="s">
        <v>1024</v>
      </c>
      <c r="G22" s="806" t="s">
        <v>71</v>
      </c>
      <c r="H22" s="806"/>
      <c r="I22" s="806"/>
      <c r="J22" s="806"/>
    </row>
    <row r="23" spans="2:10">
      <c r="B23" s="125" t="s">
        <v>1025</v>
      </c>
      <c r="C23" s="137" t="s">
        <v>1026</v>
      </c>
      <c r="D23" s="138" t="s">
        <v>1027</v>
      </c>
      <c r="E23" s="649" t="s">
        <v>1028</v>
      </c>
      <c r="F23" s="805" t="s">
        <v>1029</v>
      </c>
      <c r="G23" s="807" t="s">
        <v>1030</v>
      </c>
      <c r="H23" s="807"/>
      <c r="I23" s="807"/>
      <c r="J23" s="807"/>
    </row>
    <row r="24" spans="2:10">
      <c r="B24" s="125" t="s">
        <v>1031</v>
      </c>
      <c r="C24" s="137" t="s">
        <v>1032</v>
      </c>
      <c r="D24" s="138" t="s">
        <v>1033</v>
      </c>
      <c r="E24" s="649" t="s">
        <v>1034</v>
      </c>
      <c r="F24" s="805" t="s">
        <v>1035</v>
      </c>
      <c r="G24" s="807" t="s">
        <v>1036</v>
      </c>
      <c r="H24" s="807"/>
      <c r="I24" s="807"/>
      <c r="J24" s="807"/>
    </row>
    <row r="25" spans="2:10">
      <c r="B25" s="125" t="s">
        <v>1037</v>
      </c>
      <c r="C25" s="137" t="s">
        <v>1038</v>
      </c>
      <c r="D25" s="138" t="s">
        <v>818</v>
      </c>
      <c r="E25" s="649" t="s">
        <v>1039</v>
      </c>
      <c r="F25" s="805" t="s">
        <v>1039</v>
      </c>
      <c r="G25" s="807" t="s">
        <v>1040</v>
      </c>
      <c r="H25" s="807"/>
      <c r="I25" s="807"/>
      <c r="J25" s="807"/>
    </row>
    <row r="26" spans="2:10">
      <c r="B26" s="125" t="s">
        <v>1041</v>
      </c>
      <c r="C26" s="137" t="s">
        <v>1042</v>
      </c>
      <c r="D26" s="138" t="s">
        <v>818</v>
      </c>
      <c r="E26" s="649" t="s">
        <v>1043</v>
      </c>
      <c r="F26" s="805" t="s">
        <v>1043</v>
      </c>
      <c r="G26" s="807" t="s">
        <v>1044</v>
      </c>
      <c r="H26" s="807"/>
      <c r="I26" s="807"/>
      <c r="J26" s="807"/>
    </row>
    <row r="27" spans="2:10">
      <c r="B27" s="125" t="s">
        <v>1045</v>
      </c>
      <c r="C27" s="137" t="s">
        <v>1046</v>
      </c>
      <c r="D27" s="138" t="s">
        <v>1047</v>
      </c>
      <c r="E27" s="649" t="s">
        <v>1048</v>
      </c>
      <c r="F27" s="805" t="s">
        <v>1049</v>
      </c>
      <c r="G27" s="807" t="s">
        <v>1050</v>
      </c>
      <c r="H27" s="807"/>
      <c r="I27" s="807"/>
      <c r="J27" s="807"/>
    </row>
    <row r="28" spans="2:10">
      <c r="B28" s="53"/>
      <c r="C28" s="53"/>
      <c r="D28" s="53"/>
      <c r="E28" s="53"/>
      <c r="G28" s="53"/>
    </row>
    <row r="29" spans="2:10">
      <c r="B29" s="654" t="s">
        <v>1051</v>
      </c>
      <c r="C29" s="654"/>
      <c r="D29" s="654"/>
      <c r="E29" s="654"/>
      <c r="F29" s="654"/>
      <c r="G29" s="654"/>
      <c r="H29" s="654"/>
      <c r="I29" s="654"/>
      <c r="J29" s="654"/>
    </row>
    <row r="30" spans="2:10" ht="25.5">
      <c r="B30" s="626" t="s">
        <v>961</v>
      </c>
      <c r="C30" s="626" t="s">
        <v>1052</v>
      </c>
      <c r="D30" s="626" t="s">
        <v>1053</v>
      </c>
      <c r="E30" s="626" t="s">
        <v>1054</v>
      </c>
      <c r="F30" s="605" t="s">
        <v>1055</v>
      </c>
      <c r="G30" s="626" t="s">
        <v>1056</v>
      </c>
    </row>
    <row r="31" spans="2:10">
      <c r="B31" s="125" t="s">
        <v>1057</v>
      </c>
      <c r="C31" s="140">
        <v>4</v>
      </c>
      <c r="D31" s="141">
        <f>'3-Statement'!$G$7</f>
        <v>28641.421700000003</v>
      </c>
      <c r="E31" s="141">
        <f>C31*D31</f>
        <v>114565.68680000001</v>
      </c>
      <c r="F31" s="142">
        <f>(E31+16806-2045)/940</f>
        <v>137.58158170212769</v>
      </c>
      <c r="G31" s="143">
        <f>F31/249-1</f>
        <v>-0.44746352730069194</v>
      </c>
    </row>
    <row r="32" spans="2:10">
      <c r="B32" s="125" t="s">
        <v>1058</v>
      </c>
      <c r="C32" s="140">
        <v>5</v>
      </c>
      <c r="D32" s="141">
        <f>'3-Statement'!$G$7</f>
        <v>28641.421700000003</v>
      </c>
      <c r="E32" s="141">
        <f t="shared" ref="E32:E37" si="0">C32*D32</f>
        <v>143207.1085</v>
      </c>
      <c r="F32" s="142">
        <f t="shared" ref="F32:F37" si="1">(E32+16806-2045)/940</f>
        <v>168.05117925531914</v>
      </c>
      <c r="G32" s="143">
        <f t="shared" ref="G32:G37" si="2">F32/249-1</f>
        <v>-0.32509566564128856</v>
      </c>
    </row>
    <row r="33" spans="2:10" ht="25.5">
      <c r="B33" s="125" t="s">
        <v>1059</v>
      </c>
      <c r="C33" s="140">
        <v>7.5</v>
      </c>
      <c r="D33" s="141">
        <f>'3-Statement'!$G$7</f>
        <v>28641.421700000003</v>
      </c>
      <c r="E33" s="141">
        <f t="shared" si="0"/>
        <v>214810.66275000002</v>
      </c>
      <c r="F33" s="142">
        <f t="shared" si="1"/>
        <v>244.22517313829789</v>
      </c>
      <c r="G33" s="143">
        <f t="shared" si="2"/>
        <v>-1.9176011492779588E-2</v>
      </c>
    </row>
    <row r="34" spans="2:10" ht="25.5">
      <c r="B34" s="125" t="s">
        <v>1060</v>
      </c>
      <c r="C34" s="140">
        <v>9</v>
      </c>
      <c r="D34" s="141">
        <f>'3-Statement'!$G$7</f>
        <v>28641.421700000003</v>
      </c>
      <c r="E34" s="141">
        <f t="shared" si="0"/>
        <v>257772.79530000003</v>
      </c>
      <c r="F34" s="142">
        <f t="shared" si="1"/>
        <v>289.92956946808511</v>
      </c>
      <c r="G34" s="143">
        <f t="shared" si="2"/>
        <v>0.16437578099632577</v>
      </c>
    </row>
    <row r="35" spans="2:10" ht="25.5">
      <c r="B35" s="125" t="s">
        <v>1061</v>
      </c>
      <c r="C35" s="140">
        <v>34.5</v>
      </c>
      <c r="D35" s="141">
        <f>'3-Statement'!$G$27</f>
        <v>2274.8514759999994</v>
      </c>
      <c r="E35" s="141">
        <f t="shared" si="0"/>
        <v>78482.375921999977</v>
      </c>
      <c r="F35" s="142">
        <f t="shared" si="1"/>
        <v>99.195080768085077</v>
      </c>
      <c r="G35" s="143">
        <f t="shared" si="2"/>
        <v>-0.60162618165427673</v>
      </c>
    </row>
    <row r="36" spans="2:10">
      <c r="B36" s="125" t="s">
        <v>1062</v>
      </c>
      <c r="C36" s="140">
        <v>50</v>
      </c>
      <c r="D36" s="141">
        <f>'3-Statement'!$G$27</f>
        <v>2274.8514759999994</v>
      </c>
      <c r="E36" s="141">
        <f t="shared" si="0"/>
        <v>113742.57379999997</v>
      </c>
      <c r="F36" s="142">
        <f t="shared" si="1"/>
        <v>136.70592957446806</v>
      </c>
      <c r="G36" s="143">
        <f t="shared" si="2"/>
        <v>-0.45098020251217652</v>
      </c>
    </row>
    <row r="37" spans="2:10">
      <c r="B37" s="125" t="s">
        <v>1063</v>
      </c>
      <c r="C37" s="140">
        <v>75</v>
      </c>
      <c r="D37" s="141">
        <f>'3-Statement'!$G$27</f>
        <v>2274.8514759999994</v>
      </c>
      <c r="E37" s="141">
        <f t="shared" si="0"/>
        <v>170613.86069999996</v>
      </c>
      <c r="F37" s="142">
        <f t="shared" si="1"/>
        <v>197.20729861702122</v>
      </c>
      <c r="G37" s="143">
        <f t="shared" si="2"/>
        <v>-0.20800281679911159</v>
      </c>
    </row>
    <row r="38" spans="2:10">
      <c r="B38" s="53"/>
      <c r="C38" s="53"/>
      <c r="D38" s="53"/>
      <c r="E38" s="53"/>
      <c r="G38" s="53"/>
    </row>
    <row r="39" spans="2:10">
      <c r="B39" s="655" t="s">
        <v>1064</v>
      </c>
      <c r="C39" s="655"/>
      <c r="D39" s="655"/>
      <c r="E39" s="655"/>
      <c r="F39" s="655"/>
      <c r="G39" s="655"/>
      <c r="H39" s="655"/>
      <c r="I39" s="655"/>
      <c r="J39" s="655"/>
    </row>
    <row r="40" spans="2:10" ht="30" customHeight="1">
      <c r="B40" s="651" t="s">
        <v>1065</v>
      </c>
      <c r="C40" s="651"/>
      <c r="D40" s="651"/>
      <c r="E40" s="651"/>
      <c r="F40" s="651"/>
      <c r="G40" s="651"/>
      <c r="H40" s="651"/>
      <c r="I40" s="651"/>
      <c r="J40" s="651"/>
    </row>
    <row r="41" spans="2:10" ht="26.25" customHeight="1">
      <c r="B41" s="651" t="s">
        <v>1066</v>
      </c>
      <c r="C41" s="651"/>
      <c r="D41" s="651"/>
      <c r="E41" s="651"/>
      <c r="F41" s="651"/>
      <c r="G41" s="651"/>
      <c r="H41" s="651"/>
      <c r="I41" s="651"/>
      <c r="J41" s="651"/>
    </row>
    <row r="42" spans="2:10" ht="27.75" customHeight="1">
      <c r="B42" s="651" t="s">
        <v>1067</v>
      </c>
      <c r="C42" s="651"/>
      <c r="D42" s="651"/>
      <c r="E42" s="651"/>
      <c r="F42" s="651"/>
      <c r="G42" s="651"/>
      <c r="H42" s="651"/>
      <c r="I42" s="651"/>
      <c r="J42" s="651"/>
    </row>
    <row r="43" spans="2:10" ht="26.25" customHeight="1">
      <c r="B43" s="651" t="s">
        <v>1068</v>
      </c>
      <c r="C43" s="651"/>
      <c r="D43" s="651"/>
      <c r="E43" s="651"/>
      <c r="F43" s="651"/>
      <c r="G43" s="651"/>
      <c r="H43" s="651"/>
      <c r="I43" s="651"/>
      <c r="J43" s="651"/>
    </row>
    <row r="44" spans="2:10" ht="28.5" customHeight="1">
      <c r="B44" s="651" t="s">
        <v>1069</v>
      </c>
      <c r="C44" s="651"/>
      <c r="D44" s="651"/>
      <c r="E44" s="651"/>
      <c r="F44" s="651"/>
      <c r="G44" s="651"/>
      <c r="H44" s="651"/>
      <c r="I44" s="651"/>
      <c r="J44" s="651"/>
    </row>
    <row r="45" spans="2:10">
      <c r="B45" s="53"/>
      <c r="C45" s="53"/>
      <c r="D45" s="53"/>
      <c r="E45" s="53"/>
      <c r="G45" s="53"/>
    </row>
    <row r="46" spans="2:10">
      <c r="B46" s="53"/>
      <c r="C46" s="53"/>
      <c r="D46" s="53"/>
      <c r="E46" s="53"/>
      <c r="G46" s="53"/>
    </row>
    <row r="47" spans="2:10">
      <c r="B47" s="53"/>
      <c r="C47" s="53"/>
      <c r="D47" s="53"/>
      <c r="E47" s="53"/>
      <c r="G47" s="53"/>
    </row>
    <row r="48" spans="2:10">
      <c r="B48" s="53"/>
      <c r="C48" s="53"/>
      <c r="D48" s="53"/>
      <c r="E48" s="53"/>
      <c r="G48" s="53"/>
    </row>
    <row r="49" spans="2:7">
      <c r="B49" s="53"/>
      <c r="C49" s="53"/>
      <c r="D49" s="53"/>
      <c r="E49" s="53"/>
      <c r="G49" s="53"/>
    </row>
    <row r="50" spans="2:7">
      <c r="B50" s="53"/>
      <c r="C50" s="53"/>
      <c r="D50" s="53"/>
      <c r="E50" s="53"/>
      <c r="G50" s="53"/>
    </row>
    <row r="51" spans="2:7">
      <c r="B51" s="53"/>
      <c r="C51" s="53"/>
      <c r="D51" s="53"/>
      <c r="E51" s="53"/>
      <c r="G51" s="53"/>
    </row>
    <row r="52" spans="2:7">
      <c r="B52" s="53"/>
      <c r="C52" s="53"/>
      <c r="D52" s="53"/>
      <c r="E52" s="53"/>
      <c r="G52" s="53"/>
    </row>
    <row r="53" spans="2:7">
      <c r="B53" s="53"/>
      <c r="C53" s="53"/>
      <c r="D53" s="53"/>
      <c r="E53" s="53"/>
      <c r="G53" s="53"/>
    </row>
    <row r="54" spans="2:7">
      <c r="B54" s="53"/>
      <c r="C54" s="53"/>
      <c r="D54" s="53"/>
      <c r="E54" s="53"/>
      <c r="G54" s="53"/>
    </row>
    <row r="55" spans="2:7">
      <c r="B55" s="53"/>
      <c r="C55" s="53"/>
      <c r="D55" s="53"/>
      <c r="E55" s="53"/>
      <c r="G55" s="53"/>
    </row>
    <row r="56" spans="2:7">
      <c r="B56" s="53"/>
      <c r="C56" s="53"/>
      <c r="D56" s="53"/>
      <c r="E56" s="53"/>
      <c r="G56" s="53"/>
    </row>
    <row r="57" spans="2:7">
      <c r="B57" s="53"/>
      <c r="C57" s="53"/>
      <c r="D57" s="53"/>
      <c r="E57" s="53"/>
      <c r="G57" s="53"/>
    </row>
    <row r="58" spans="2:7">
      <c r="B58" s="53"/>
      <c r="C58" s="53"/>
      <c r="D58" s="53"/>
      <c r="E58" s="53"/>
      <c r="G58" s="53"/>
    </row>
    <row r="59" spans="2:7">
      <c r="B59" s="53"/>
      <c r="C59" s="53"/>
      <c r="D59" s="53"/>
      <c r="E59" s="53"/>
      <c r="G59" s="53"/>
    </row>
    <row r="60" spans="2:7">
      <c r="B60" s="53"/>
      <c r="C60" s="53"/>
      <c r="D60" s="53"/>
      <c r="E60" s="53"/>
      <c r="G60" s="53"/>
    </row>
  </sheetData>
  <mergeCells count="30">
    <mergeCell ref="G27:J27"/>
    <mergeCell ref="G26:J26"/>
    <mergeCell ref="G25:J25"/>
    <mergeCell ref="G24:J24"/>
    <mergeCell ref="G23:J23"/>
    <mergeCell ref="G7:J7"/>
    <mergeCell ref="G6:J6"/>
    <mergeCell ref="G8:J8"/>
    <mergeCell ref="G10:J10"/>
    <mergeCell ref="G11:J11"/>
    <mergeCell ref="G9:J9"/>
    <mergeCell ref="G15:J15"/>
    <mergeCell ref="G14:J14"/>
    <mergeCell ref="G16:J16"/>
    <mergeCell ref="G17:J17"/>
    <mergeCell ref="G18:J18"/>
    <mergeCell ref="G19:J19"/>
    <mergeCell ref="G22:J22"/>
    <mergeCell ref="B44:J44"/>
    <mergeCell ref="B2:J2"/>
    <mergeCell ref="B3:I3"/>
    <mergeCell ref="B5:J5"/>
    <mergeCell ref="B13:J13"/>
    <mergeCell ref="B29:J29"/>
    <mergeCell ref="B21:J21"/>
    <mergeCell ref="B39:J39"/>
    <mergeCell ref="B40:J40"/>
    <mergeCell ref="B41:J41"/>
    <mergeCell ref="B42:J42"/>
    <mergeCell ref="B43:J4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8B581-59BC-46E8-B43C-F0CFB0296350}">
  <sheetPr>
    <tabColor rgb="FF4682B4"/>
  </sheetPr>
  <dimension ref="A3:J60"/>
  <sheetViews>
    <sheetView showGridLines="0" workbookViewId="0">
      <pane xSplit="1" ySplit="4" topLeftCell="B45" activePane="bottomRight" state="frozen"/>
      <selection pane="bottomRight" activeCell="F38" sqref="F38:J38"/>
      <selection pane="bottomLeft"/>
      <selection pane="topRight"/>
    </sheetView>
  </sheetViews>
  <sheetFormatPr defaultRowHeight="15"/>
  <cols>
    <col min="1" max="1" width="1.85546875" customWidth="1"/>
    <col min="2" max="2" width="25.7109375" style="71" customWidth="1"/>
    <col min="3" max="3" width="12.5703125" style="70" customWidth="1"/>
    <col min="4" max="4" width="12.42578125" style="70" customWidth="1"/>
    <col min="5" max="5" width="11.7109375" style="70" customWidth="1"/>
    <col min="6" max="9" width="10.5703125" style="70" bestFit="1" customWidth="1"/>
    <col min="10" max="10" width="13.7109375" style="70" bestFit="1" customWidth="1"/>
  </cols>
  <sheetData>
    <row r="3" spans="1:10" ht="15.75">
      <c r="B3" s="700" t="s">
        <v>1070</v>
      </c>
      <c r="C3" s="700"/>
      <c r="D3" s="700"/>
      <c r="E3" s="700"/>
      <c r="F3" s="700"/>
      <c r="G3" s="700"/>
      <c r="H3" s="700"/>
      <c r="I3" s="700"/>
      <c r="J3" s="700"/>
    </row>
    <row r="4" spans="1:10">
      <c r="B4" s="49" t="s">
        <v>127</v>
      </c>
      <c r="C4" s="50" t="s">
        <v>47</v>
      </c>
      <c r="D4" s="50" t="s">
        <v>48</v>
      </c>
      <c r="E4" s="50" t="s">
        <v>49</v>
      </c>
      <c r="F4" s="50" t="s">
        <v>50</v>
      </c>
      <c r="G4" s="50" t="s">
        <v>51</v>
      </c>
      <c r="H4" s="50" t="s">
        <v>52</v>
      </c>
      <c r="I4" s="50" t="s">
        <v>53</v>
      </c>
      <c r="J4" s="50" t="s">
        <v>54</v>
      </c>
    </row>
    <row r="5" spans="1:10" s="1" customFormat="1">
      <c r="B5" s="51"/>
      <c r="C5" s="52"/>
      <c r="D5" s="52"/>
      <c r="E5" s="52"/>
      <c r="F5" s="52"/>
      <c r="G5" s="52"/>
      <c r="H5" s="52"/>
      <c r="I5" s="52"/>
      <c r="J5" s="52"/>
    </row>
    <row r="6" spans="1:10">
      <c r="A6" t="s">
        <v>132</v>
      </c>
      <c r="B6" s="794" t="s">
        <v>1071</v>
      </c>
      <c r="C6" s="794"/>
      <c r="D6" s="794"/>
      <c r="E6" s="794"/>
      <c r="F6" s="794"/>
      <c r="G6" s="794"/>
      <c r="H6" s="794"/>
      <c r="I6" s="794"/>
      <c r="J6" s="794"/>
    </row>
    <row r="7" spans="1:10">
      <c r="B7" s="71" t="s">
        <v>1072</v>
      </c>
      <c r="C7" s="92">
        <f>'3-Statement'!C7</f>
        <v>4193</v>
      </c>
      <c r="D7" s="92">
        <f>'3-Statement'!D7</f>
        <v>7079</v>
      </c>
      <c r="E7" s="92">
        <f>'3-Statement'!E7</f>
        <v>12114</v>
      </c>
      <c r="F7" s="92">
        <f>'3-Statement'!F7</f>
        <v>20243</v>
      </c>
      <c r="G7" s="92">
        <f>'3-Statement'!G7</f>
        <v>28641.421700000003</v>
      </c>
      <c r="H7" s="92">
        <f>'3-Statement'!H7</f>
        <v>40122.272420000001</v>
      </c>
      <c r="I7" s="92">
        <f>'3-Statement'!I7</f>
        <v>53093.729126500009</v>
      </c>
      <c r="J7" s="92">
        <f>'3-Statement'!J7</f>
        <v>65159.790804879995</v>
      </c>
    </row>
    <row r="8" spans="1:10">
      <c r="B8" s="93" t="s">
        <v>1073</v>
      </c>
      <c r="C8" s="94" t="str">
        <f>'3-Statement'!C13</f>
        <v>-</v>
      </c>
      <c r="D8" s="296">
        <f>'3-Statement'!D13</f>
        <v>0.68829000715478172</v>
      </c>
      <c r="E8" s="296">
        <f>'3-Statement'!E13</f>
        <v>0.71125865235202723</v>
      </c>
      <c r="F8" s="296">
        <f>'3-Statement'!F13</f>
        <v>0.67104176985306263</v>
      </c>
      <c r="G8" s="296">
        <f>'3-Statement'!G13</f>
        <v>0.41488028948278433</v>
      </c>
      <c r="H8" s="296">
        <f>'3-Statement'!H13</f>
        <v>0.40084779450735142</v>
      </c>
      <c r="I8" s="296">
        <f>'3-Statement'!I13</f>
        <v>0.32329815646319293</v>
      </c>
      <c r="J8" s="296">
        <f>'3-Statement'!J13</f>
        <v>0.22725963832059404</v>
      </c>
    </row>
    <row r="9" spans="1:10">
      <c r="B9" s="93" t="s">
        <v>1074</v>
      </c>
      <c r="C9" s="444">
        <v>0.69199999999999995</v>
      </c>
      <c r="D9" s="95"/>
      <c r="E9" s="95"/>
      <c r="F9" s="95"/>
      <c r="G9" s="95"/>
      <c r="H9" s="95"/>
      <c r="I9" s="95"/>
      <c r="J9" s="95"/>
    </row>
    <row r="10" spans="1:10">
      <c r="B10" s="96" t="s">
        <v>1075</v>
      </c>
      <c r="C10" s="97"/>
      <c r="D10" s="97"/>
      <c r="E10" s="97"/>
      <c r="F10" s="97"/>
      <c r="G10" s="97"/>
      <c r="H10" s="97"/>
      <c r="I10" s="97"/>
      <c r="J10" s="436">
        <v>0.36</v>
      </c>
    </row>
    <row r="11" spans="1:10">
      <c r="B11" s="60"/>
      <c r="C11" s="98"/>
      <c r="D11" s="98"/>
      <c r="E11" s="98"/>
      <c r="F11" s="98"/>
      <c r="G11" s="98"/>
      <c r="H11" s="98"/>
      <c r="I11" s="98"/>
      <c r="J11" s="98"/>
    </row>
    <row r="12" spans="1:10">
      <c r="A12" t="s">
        <v>132</v>
      </c>
      <c r="B12" s="794" t="s">
        <v>1076</v>
      </c>
      <c r="C12" s="794"/>
      <c r="D12" s="794"/>
      <c r="E12" s="794"/>
      <c r="F12" s="794"/>
      <c r="G12" s="794"/>
      <c r="H12" s="794"/>
      <c r="I12" s="794"/>
      <c r="J12" s="794"/>
    </row>
    <row r="13" spans="1:10">
      <c r="B13" s="71" t="s">
        <v>1077</v>
      </c>
      <c r="C13" s="99">
        <f>'3-Statement'!C18</f>
        <v>552</v>
      </c>
      <c r="D13" s="99">
        <f>'3-Statement'!D18</f>
        <v>1438</v>
      </c>
      <c r="E13" s="99">
        <f>'3-Statement'!E18</f>
        <v>2887</v>
      </c>
      <c r="F13" s="99">
        <f>'3-Statement'!F18</f>
        <v>5653</v>
      </c>
      <c r="G13" s="99">
        <f>'3-Statement'!G18</f>
        <v>8828</v>
      </c>
      <c r="H13" s="99">
        <f>'3-Statement'!H18</f>
        <v>13122</v>
      </c>
      <c r="I13" s="99">
        <f>'3-Statement'!I18</f>
        <v>17919</v>
      </c>
      <c r="J13" s="99">
        <f>'3-Statement'!J18</f>
        <v>22143</v>
      </c>
    </row>
    <row r="14" spans="1:10">
      <c r="B14" s="71" t="s">
        <v>787</v>
      </c>
      <c r="C14" s="88">
        <f>'3-Statement'!C140</f>
        <v>-28</v>
      </c>
      <c r="D14" s="88">
        <f>'3-Statement'!D140</f>
        <v>-43</v>
      </c>
      <c r="E14" s="88">
        <f>'3-Statement'!E140</f>
        <v>-5</v>
      </c>
      <c r="F14" s="88">
        <f>'3-Statement'!F140</f>
        <v>-88</v>
      </c>
      <c r="G14" s="88">
        <f>'3-Statement'!G140</f>
        <v>-114</v>
      </c>
      <c r="H14" s="88">
        <f>'3-Statement'!H140</f>
        <v>-141</v>
      </c>
      <c r="I14" s="88">
        <f>'3-Statement'!I140</f>
        <v>-109</v>
      </c>
      <c r="J14" s="88">
        <f>'3-Statement'!J140</f>
        <v>-67</v>
      </c>
    </row>
    <row r="15" spans="1:10">
      <c r="B15" s="71" t="s">
        <v>1078</v>
      </c>
      <c r="C15" s="99">
        <f>'3-Statement'!C20</f>
        <v>1814</v>
      </c>
      <c r="D15" s="99">
        <f>'3-Statement'!D20</f>
        <v>2537</v>
      </c>
      <c r="E15" s="99">
        <f>'3-Statement'!E20</f>
        <v>3915</v>
      </c>
      <c r="F15" s="99">
        <f>'3-Statement'!F20</f>
        <v>5728</v>
      </c>
      <c r="G15" s="99">
        <f>'3-Statement'!G20</f>
        <v>7876</v>
      </c>
      <c r="H15" s="99">
        <f>'3-Statement'!H20</f>
        <v>10632</v>
      </c>
      <c r="I15" s="99">
        <f>'3-Statement'!I20</f>
        <v>13539</v>
      </c>
      <c r="J15" s="99">
        <f>'3-Statement'!J20</f>
        <v>15964</v>
      </c>
    </row>
    <row r="16" spans="1:10">
      <c r="B16" s="75" t="s">
        <v>307</v>
      </c>
      <c r="C16" s="100">
        <f>C7-C13-C14-C15</f>
        <v>1855</v>
      </c>
      <c r="D16" s="100">
        <f t="shared" ref="D16:J16" si="0">D7-D13-D14-D15</f>
        <v>3147</v>
      </c>
      <c r="E16" s="100">
        <f t="shared" si="0"/>
        <v>5317</v>
      </c>
      <c r="F16" s="100">
        <f t="shared" si="0"/>
        <v>8950</v>
      </c>
      <c r="G16" s="100">
        <f t="shared" si="0"/>
        <v>12051.421700000003</v>
      </c>
      <c r="H16" s="100">
        <f t="shared" si="0"/>
        <v>16509.272420000001</v>
      </c>
      <c r="I16" s="100">
        <f t="shared" si="0"/>
        <v>21744.729126500009</v>
      </c>
      <c r="J16" s="100">
        <f t="shared" si="0"/>
        <v>27119.790804879995</v>
      </c>
    </row>
    <row r="17" spans="1:10">
      <c r="B17" s="96" t="s">
        <v>308</v>
      </c>
      <c r="C17" s="820">
        <f>C16/C7</f>
        <v>0.44240400667779634</v>
      </c>
      <c r="D17" s="820">
        <f t="shared" ref="D17:J17" si="1">D16/D7</f>
        <v>0.44455431558129677</v>
      </c>
      <c r="E17" s="820">
        <f t="shared" si="1"/>
        <v>0.43891365362390622</v>
      </c>
      <c r="F17" s="820">
        <f t="shared" si="1"/>
        <v>0.44212814306179915</v>
      </c>
      <c r="G17" s="820">
        <f t="shared" si="1"/>
        <v>0.42076897670201902</v>
      </c>
      <c r="H17" s="820">
        <f t="shared" si="1"/>
        <v>0.41147401241836246</v>
      </c>
      <c r="I17" s="820">
        <f t="shared" si="1"/>
        <v>0.40955362307837656</v>
      </c>
      <c r="J17" s="820">
        <f t="shared" si="1"/>
        <v>0.41620438724381109</v>
      </c>
    </row>
    <row r="18" spans="1:10">
      <c r="C18" s="101"/>
      <c r="D18" s="101"/>
      <c r="E18" s="101"/>
      <c r="F18" s="101"/>
      <c r="G18" s="101"/>
      <c r="H18" s="101"/>
      <c r="I18" s="101"/>
      <c r="J18" s="71"/>
    </row>
    <row r="19" spans="1:10">
      <c r="A19" t="s">
        <v>132</v>
      </c>
      <c r="B19" s="794" t="s">
        <v>1079</v>
      </c>
      <c r="C19" s="794"/>
      <c r="D19" s="794"/>
      <c r="E19" s="794"/>
      <c r="F19" s="794"/>
      <c r="G19" s="794"/>
      <c r="H19" s="794"/>
      <c r="I19" s="794"/>
      <c r="J19" s="794"/>
    </row>
    <row r="20" spans="1:10" s="1" customFormat="1">
      <c r="B20" s="71" t="s">
        <v>1080</v>
      </c>
      <c r="C20" s="102">
        <f>'3-Statement'!C20/'3-Statement'!C7</f>
        <v>0.43262580491295016</v>
      </c>
      <c r="D20" s="102">
        <f>'3-Statement'!D20/'3-Statement'!D7</f>
        <v>0.3583839525356689</v>
      </c>
      <c r="E20" s="102">
        <f>'3-Statement'!E20/'3-Statement'!E7</f>
        <v>0.32317979197622587</v>
      </c>
      <c r="F20" s="102">
        <f>'3-Statement'!F20/'3-Statement'!F7</f>
        <v>0.28296201155955147</v>
      </c>
      <c r="G20" s="102">
        <f>'3-Statement'!G20/'3-Statement'!G7</f>
        <v>0.27498634957775153</v>
      </c>
      <c r="H20" s="102">
        <f>'3-Statement'!H20/'3-Statement'!H7</f>
        <v>0.26498997585939826</v>
      </c>
      <c r="I20" s="102">
        <f>'3-Statement'!I20/'3-Statement'!I7</f>
        <v>0.25500186599706082</v>
      </c>
      <c r="J20" s="102">
        <f>'3-Statement'!J20/'3-Statement'!J7</f>
        <v>0.2449977171934753</v>
      </c>
    </row>
    <row r="21" spans="1:10" s="1" customFormat="1">
      <c r="B21" s="71" t="s">
        <v>1081</v>
      </c>
      <c r="C21" s="102">
        <f>'3-Statement'!C23/'3-Statement'!C7</f>
        <v>0.38945862151204386</v>
      </c>
      <c r="D21" s="102">
        <f>'3-Statement'!D23/'3-Statement'!D7</f>
        <v>0.20695013419974573</v>
      </c>
      <c r="E21" s="102">
        <f>'3-Statement'!E23/'3-Statement'!E7</f>
        <v>4.342083539706125E-2</v>
      </c>
      <c r="F21" s="102">
        <f>'3-Statement'!F23/'3-Statement'!F7</f>
        <v>4.2632020945512029E-2</v>
      </c>
      <c r="G21" s="102">
        <f>'3-Statement'!G23/'3-Statement'!G7</f>
        <v>4.9997518105045741E-2</v>
      </c>
      <c r="H21" s="102">
        <f>'3-Statement'!H23/'3-Statement'!H7</f>
        <v>4.8003263121256676E-2</v>
      </c>
      <c r="I21" s="102">
        <f>'3-Statement'!I23/'3-Statement'!I7</f>
        <v>4.4995897619246494E-2</v>
      </c>
      <c r="J21" s="102">
        <f>'3-Statement'!J23/'3-Statement'!J7</f>
        <v>4.4997075094667348E-2</v>
      </c>
    </row>
    <row r="22" spans="1:10" s="1" customFormat="1">
      <c r="B22" s="71" t="s">
        <v>1082</v>
      </c>
      <c r="C22" s="102">
        <f>'3-Statement'!C21/'3-Statement'!C7</f>
        <v>0.1800620081087527</v>
      </c>
      <c r="D22" s="102">
        <f>'3-Statement'!D21/'3-Statement'!D7</f>
        <v>0.13547111173894619</v>
      </c>
      <c r="E22" s="102">
        <f>'3-Statement'!E21/'3-Statement'!E7</f>
        <v>9.4436189532771997E-2</v>
      </c>
      <c r="F22" s="102">
        <f>'3-Statement'!F21/'3-Statement'!F7</f>
        <v>8.6943634836733688E-2</v>
      </c>
      <c r="G22" s="102">
        <f>'3-Statement'!G21/'3-Statement'!G7</f>
        <v>7.3006152484392905E-2</v>
      </c>
      <c r="H22" s="102">
        <f>'3-Statement'!H21/'3-Statement'!H7</f>
        <v>6.3007398323227867E-2</v>
      </c>
      <c r="I22" s="102">
        <f>'3-Statement'!I21/'3-Statement'!I7</f>
        <v>5.4997078714189941E-2</v>
      </c>
      <c r="J22" s="102">
        <f>'3-Statement'!J21/'3-Statement'!J7</f>
        <v>5.0997708233144472E-2</v>
      </c>
    </row>
    <row r="23" spans="1:10" s="1" customFormat="1">
      <c r="B23" s="71" t="s">
        <v>1083</v>
      </c>
      <c r="C23" s="102">
        <f>'3-Statement'!C22/'3-Statement'!C7</f>
        <v>0.20939661340329119</v>
      </c>
      <c r="D23" s="102">
        <f>'3-Statement'!D22/'3-Statement'!D7</f>
        <v>7.1479022460799554E-2</v>
      </c>
      <c r="E23" s="102">
        <f>'3-Statement'!E22/'3-Statement'!E7</f>
        <v>4.2512795113092292E-2</v>
      </c>
      <c r="F23" s="102">
        <f>'3-Statement'!F22/'3-Statement'!F7</f>
        <v>3.9421034431655386E-2</v>
      </c>
      <c r="G23" s="102">
        <f>'3-Statement'!G22/'3-Statement'!G7</f>
        <v>3.1423021155405843E-2</v>
      </c>
      <c r="H23" s="102">
        <f>'3-Statement'!H22/'3-Statement'!H7</f>
        <v>2.3677621996466169E-2</v>
      </c>
      <c r="I23" s="102">
        <f>'3-Statement'!I22/'3-Statement'!I7</f>
        <v>1.6951154398209229E-2</v>
      </c>
      <c r="J23" s="102">
        <f>'3-Statement'!J22/'3-Statement'!J7</f>
        <v>1.3044854648863317E-2</v>
      </c>
    </row>
    <row r="24" spans="1:10" s="1" customFormat="1">
      <c r="B24" s="71" t="s">
        <v>1084</v>
      </c>
      <c r="C24" s="102">
        <f>'3-Statement'!C24/'3-Statement'!C7</f>
        <v>6.8924397805866927E-2</v>
      </c>
      <c r="D24" s="102">
        <f>'3-Statement'!D24/'3-Statement'!D7</f>
        <v>5.4668738522390167E-2</v>
      </c>
      <c r="E24" s="102">
        <f>'3-Statement'!E24/'3-Statement'!E7</f>
        <v>4.0036321611358755E-2</v>
      </c>
      <c r="F24" s="102">
        <f>'3-Statement'!F24/'3-Statement'!F7</f>
        <v>3.1813466383441187E-2</v>
      </c>
      <c r="G24" s="102">
        <f>'3-Statement'!G24/'3-Statement'!G7</f>
        <v>2.9991527969437354E-2</v>
      </c>
      <c r="H24" s="102">
        <f>'3-Statement'!H24/'3-Statement'!H7</f>
        <v>2.7989441581085798E-2</v>
      </c>
      <c r="I24" s="102">
        <f>'3-Statement'!I24/'3-Statement'!I7</f>
        <v>2.5991770077254148E-2</v>
      </c>
      <c r="J24" s="102">
        <f>'3-Statement'!J24/'3-Statement'!J7</f>
        <v>2.5000080262350993E-2</v>
      </c>
    </row>
    <row r="25" spans="1:10" s="1" customFormat="1">
      <c r="B25" s="77" t="s">
        <v>1085</v>
      </c>
      <c r="C25" s="821">
        <f>SUM(C20:C24)</f>
        <v>1.2804674457429048</v>
      </c>
      <c r="D25" s="821">
        <f>SUM(D20:D24)</f>
        <v>0.82695295945755054</v>
      </c>
      <c r="E25" s="821">
        <f>SUM(E20:E24)</f>
        <v>0.54358593363051011</v>
      </c>
      <c r="F25" s="821">
        <f>SUM(F20:F24)</f>
        <v>0.48377216815689378</v>
      </c>
      <c r="G25" s="821">
        <f>SUM(G20:G24)</f>
        <v>0.45940456929203344</v>
      </c>
      <c r="H25" s="821">
        <f>SUM(H20:H24)</f>
        <v>0.4276677008814348</v>
      </c>
      <c r="I25" s="821">
        <f>SUM(I20:I24)</f>
        <v>0.39793776680596066</v>
      </c>
      <c r="J25" s="821">
        <f>SUM(J20:J24)</f>
        <v>0.3790374354325014</v>
      </c>
    </row>
    <row r="26" spans="1:10" s="1" customFormat="1">
      <c r="B26" s="104"/>
      <c r="C26" s="105"/>
      <c r="D26" s="105"/>
      <c r="E26" s="105"/>
      <c r="F26" s="105"/>
      <c r="G26" s="105"/>
      <c r="H26" s="105"/>
      <c r="I26" s="105"/>
      <c r="J26" s="105"/>
    </row>
    <row r="27" spans="1:10">
      <c r="A27" t="s">
        <v>132</v>
      </c>
      <c r="B27" s="794" t="s">
        <v>1086</v>
      </c>
      <c r="C27" s="794"/>
      <c r="D27" s="794"/>
      <c r="E27" s="794"/>
      <c r="F27" s="794"/>
      <c r="G27" s="794"/>
      <c r="H27" s="794"/>
      <c r="I27" s="794"/>
      <c r="J27" s="794"/>
    </row>
    <row r="28" spans="1:10">
      <c r="B28" s="71" t="s">
        <v>1087</v>
      </c>
      <c r="F28" s="88">
        <f>'3-Statement'!F7</f>
        <v>20243</v>
      </c>
      <c r="G28" s="88">
        <f>'3-Statement'!G7</f>
        <v>28641.421700000003</v>
      </c>
      <c r="H28" s="88">
        <f>'3-Statement'!H7</f>
        <v>40122.272420000001</v>
      </c>
      <c r="I28" s="88">
        <f>'3-Statement'!I7</f>
        <v>53093.729126500009</v>
      </c>
      <c r="J28" s="88">
        <f>'3-Statement'!J7</f>
        <v>65159.790804879995</v>
      </c>
    </row>
    <row r="29" spans="1:10">
      <c r="B29" s="71" t="s">
        <v>1088</v>
      </c>
      <c r="F29" s="88">
        <f>-(F13+F14)</f>
        <v>-5565</v>
      </c>
      <c r="G29" s="88">
        <f t="shared" ref="G29:J29" si="2">-(G13+G14)</f>
        <v>-8714</v>
      </c>
      <c r="H29" s="88">
        <f t="shared" si="2"/>
        <v>-12981</v>
      </c>
      <c r="I29" s="88">
        <f t="shared" si="2"/>
        <v>-17810</v>
      </c>
      <c r="J29" s="88">
        <f t="shared" si="2"/>
        <v>-22076</v>
      </c>
    </row>
    <row r="30" spans="1:10">
      <c r="B30" s="71" t="s">
        <v>1089</v>
      </c>
      <c r="F30" s="88">
        <f>-F15</f>
        <v>-5728</v>
      </c>
      <c r="G30" s="88">
        <f t="shared" ref="G30:J30" si="3">-G15</f>
        <v>-7876</v>
      </c>
      <c r="H30" s="88">
        <f t="shared" si="3"/>
        <v>-10632</v>
      </c>
      <c r="I30" s="88">
        <f t="shared" si="3"/>
        <v>-13539</v>
      </c>
      <c r="J30" s="88">
        <f t="shared" si="3"/>
        <v>-15964</v>
      </c>
    </row>
    <row r="31" spans="1:10">
      <c r="B31" s="106" t="s">
        <v>1090</v>
      </c>
      <c r="F31" s="88">
        <f>F28+F29+F30</f>
        <v>8950</v>
      </c>
      <c r="G31" s="88">
        <f t="shared" ref="G31:J31" si="4">G28+G29+G30</f>
        <v>12051.421700000003</v>
      </c>
      <c r="H31" s="88">
        <f t="shared" si="4"/>
        <v>16509.272420000001</v>
      </c>
      <c r="I31" s="88">
        <f t="shared" si="4"/>
        <v>21744.729126500009</v>
      </c>
      <c r="J31" s="88">
        <f t="shared" si="4"/>
        <v>27119.790804879995</v>
      </c>
    </row>
    <row r="32" spans="1:10">
      <c r="B32" s="71" t="s">
        <v>1091</v>
      </c>
      <c r="F32" s="88">
        <f>-'3-Statement'!F21</f>
        <v>-1760</v>
      </c>
      <c r="G32" s="88">
        <f>-'3-Statement'!G21</f>
        <v>-2091</v>
      </c>
      <c r="H32" s="88">
        <f>-'3-Statement'!H21</f>
        <v>-2528</v>
      </c>
      <c r="I32" s="88">
        <f>-'3-Statement'!I21</f>
        <v>-2920</v>
      </c>
      <c r="J32" s="88">
        <f>-'3-Statement'!J21</f>
        <v>-3323</v>
      </c>
    </row>
    <row r="33" spans="1:10">
      <c r="B33" s="71" t="s">
        <v>1092</v>
      </c>
      <c r="F33" s="88">
        <f>-'3-Statement'!F22</f>
        <v>-798</v>
      </c>
      <c r="G33" s="88">
        <f>-'3-Statement'!G22</f>
        <v>-900</v>
      </c>
      <c r="H33" s="88">
        <f>-'3-Statement'!H22</f>
        <v>-950</v>
      </c>
      <c r="I33" s="88">
        <f>-'3-Statement'!I22</f>
        <v>-900</v>
      </c>
      <c r="J33" s="88">
        <f>-'3-Statement'!J22</f>
        <v>-850</v>
      </c>
    </row>
    <row r="34" spans="1:10">
      <c r="B34" s="71" t="s">
        <v>1093</v>
      </c>
      <c r="F34" s="88">
        <f>-'3-Statement'!F23</f>
        <v>-863</v>
      </c>
      <c r="G34" s="88">
        <f>-'3-Statement'!G23</f>
        <v>-1432</v>
      </c>
      <c r="H34" s="88">
        <f>-'3-Statement'!H23</f>
        <v>-1926</v>
      </c>
      <c r="I34" s="88">
        <f>-'3-Statement'!I23</f>
        <v>-2389</v>
      </c>
      <c r="J34" s="88">
        <f>-'3-Statement'!J23</f>
        <v>-2932</v>
      </c>
    </row>
    <row r="35" spans="1:10">
      <c r="B35" s="93" t="s">
        <v>1094</v>
      </c>
      <c r="C35" s="98"/>
      <c r="D35" s="98"/>
      <c r="E35" s="98"/>
      <c r="F35" s="88">
        <f>-'3-Statement'!F24</f>
        <v>-644</v>
      </c>
      <c r="G35" s="88">
        <f>-'3-Statement'!G24</f>
        <v>-859</v>
      </c>
      <c r="H35" s="88">
        <f>-'3-Statement'!H24</f>
        <v>-1123</v>
      </c>
      <c r="I35" s="88">
        <f>-'3-Statement'!I24</f>
        <v>-1380</v>
      </c>
      <c r="J35" s="88">
        <f>-'3-Statement'!J24</f>
        <v>-1629</v>
      </c>
    </row>
    <row r="36" spans="1:10">
      <c r="B36" s="93" t="s">
        <v>1095</v>
      </c>
      <c r="C36" s="98"/>
      <c r="D36" s="98"/>
      <c r="E36" s="98"/>
      <c r="F36" s="107">
        <f>'3-Statement'!F25</f>
        <v>4248</v>
      </c>
      <c r="G36" s="107">
        <f>'3-Statement'!G25</f>
        <v>2291</v>
      </c>
      <c r="H36" s="107">
        <f>'3-Statement'!H25</f>
        <v>3210</v>
      </c>
      <c r="I36" s="107">
        <f>'3-Statement'!I25</f>
        <v>4247</v>
      </c>
      <c r="J36" s="107">
        <f>'3-Statement'!J25</f>
        <v>5213</v>
      </c>
    </row>
    <row r="37" spans="1:10">
      <c r="B37" s="108" t="s">
        <v>1096</v>
      </c>
      <c r="C37" s="98"/>
      <c r="D37" s="98"/>
      <c r="E37" s="98"/>
      <c r="F37" s="107">
        <f>'3-Statement'!F27</f>
        <v>1079</v>
      </c>
      <c r="G37" s="107">
        <f>'3-Statement'!G27</f>
        <v>2274.8514759999994</v>
      </c>
      <c r="H37" s="107">
        <f>'3-Statement'!H27</f>
        <v>3753.0490556</v>
      </c>
      <c r="I37" s="107">
        <f>'3-Statement'!I27</f>
        <v>6529.8646311192006</v>
      </c>
      <c r="J37" s="107">
        <f>'3-Statement'!J27</f>
        <v>9407.7513410675037</v>
      </c>
    </row>
    <row r="38" spans="1:10">
      <c r="B38" s="96" t="s">
        <v>713</v>
      </c>
      <c r="C38" s="109"/>
      <c r="D38" s="109"/>
      <c r="E38" s="109"/>
      <c r="F38" s="820">
        <f>'3-Statement'!F28</f>
        <v>5.3302376130020257E-2</v>
      </c>
      <c r="G38" s="820">
        <f>'3-Statement'!G28</f>
        <v>7.9425228950837978E-2</v>
      </c>
      <c r="H38" s="820">
        <f>'3-Statement'!H28</f>
        <v>9.3540291444938056E-2</v>
      </c>
      <c r="I38" s="820">
        <f>'3-Statement'!I28</f>
        <v>0.12298749284611901</v>
      </c>
      <c r="J38" s="820">
        <f>'3-Statement'!J28</f>
        <v>0.14437970449044063</v>
      </c>
    </row>
    <row r="39" spans="1:10">
      <c r="B39" s="53"/>
    </row>
    <row r="40" spans="1:10">
      <c r="A40" t="s">
        <v>132</v>
      </c>
      <c r="B40" s="794" t="s">
        <v>1097</v>
      </c>
      <c r="C40" s="794"/>
      <c r="D40" s="794"/>
      <c r="E40" s="794"/>
      <c r="F40" s="794"/>
      <c r="G40" s="794"/>
      <c r="H40" s="794"/>
      <c r="I40" s="794"/>
      <c r="J40" s="794"/>
    </row>
    <row r="41" spans="1:10">
      <c r="B41" s="71" t="s">
        <v>450</v>
      </c>
      <c r="C41" s="110">
        <v>1</v>
      </c>
      <c r="D41" s="110">
        <v>1.1499999999999999</v>
      </c>
      <c r="E41" s="110">
        <v>1.47</v>
      </c>
      <c r="F41" s="110">
        <v>1.2</v>
      </c>
      <c r="G41" s="111" t="s">
        <v>57</v>
      </c>
      <c r="H41" s="111" t="s">
        <v>57</v>
      </c>
      <c r="I41" s="111" t="s">
        <v>57</v>
      </c>
      <c r="J41" s="111" t="s">
        <v>57</v>
      </c>
    </row>
    <row r="42" spans="1:10">
      <c r="B42" s="71" t="s">
        <v>1098</v>
      </c>
      <c r="C42" s="110">
        <v>388</v>
      </c>
      <c r="D42" s="110">
        <v>237</v>
      </c>
      <c r="E42" s="110">
        <v>201</v>
      </c>
      <c r="F42" s="110">
        <v>152</v>
      </c>
      <c r="G42" s="111" t="s">
        <v>57</v>
      </c>
      <c r="H42" s="111" t="s">
        <v>57</v>
      </c>
      <c r="I42" s="111" t="s">
        <v>57</v>
      </c>
      <c r="J42" s="111" t="s">
        <v>57</v>
      </c>
    </row>
    <row r="43" spans="1:10">
      <c r="B43" s="71" t="s">
        <v>1099</v>
      </c>
      <c r="C43" s="110">
        <v>22.7</v>
      </c>
      <c r="D43" s="110">
        <v>19</v>
      </c>
      <c r="E43" s="110">
        <v>19</v>
      </c>
      <c r="F43" s="110">
        <v>23.1</v>
      </c>
      <c r="G43" s="110">
        <v>29.1</v>
      </c>
      <c r="H43" s="110">
        <v>35.4</v>
      </c>
      <c r="I43" s="110">
        <v>40.799999999999997</v>
      </c>
      <c r="J43" s="110">
        <v>43.5</v>
      </c>
    </row>
    <row r="44" spans="1:10">
      <c r="B44" s="93" t="s">
        <v>1100</v>
      </c>
      <c r="C44" s="95">
        <v>33.9</v>
      </c>
      <c r="D44" s="95">
        <v>39.200000000000003</v>
      </c>
      <c r="E44" s="95">
        <v>52</v>
      </c>
      <c r="F44" s="95">
        <v>67.2</v>
      </c>
      <c r="G44" s="95">
        <v>89.1</v>
      </c>
      <c r="H44" s="95">
        <v>110.5</v>
      </c>
      <c r="I44" s="95">
        <v>130.1</v>
      </c>
      <c r="J44" s="95">
        <v>142.19999999999999</v>
      </c>
    </row>
    <row r="45" spans="1:10">
      <c r="B45" s="96" t="s">
        <v>1101</v>
      </c>
      <c r="C45" s="97">
        <v>196</v>
      </c>
      <c r="D45" s="97">
        <v>228</v>
      </c>
      <c r="E45" s="97">
        <v>264</v>
      </c>
      <c r="F45" s="97">
        <v>313</v>
      </c>
      <c r="G45" s="97">
        <v>403</v>
      </c>
      <c r="H45" s="97">
        <v>486</v>
      </c>
      <c r="I45" s="97">
        <v>554</v>
      </c>
      <c r="J45" s="97">
        <v>607</v>
      </c>
    </row>
    <row r="46" spans="1:10">
      <c r="B46" s="53"/>
    </row>
    <row r="47" spans="1:10">
      <c r="A47" t="s">
        <v>132</v>
      </c>
      <c r="B47" s="794" t="s">
        <v>1102</v>
      </c>
      <c r="C47" s="794"/>
      <c r="D47" s="794"/>
      <c r="E47" s="794"/>
      <c r="F47" s="794"/>
      <c r="G47" s="794"/>
      <c r="H47" s="794"/>
      <c r="I47" s="794"/>
      <c r="J47" s="794"/>
    </row>
    <row r="48" spans="1:10">
      <c r="B48" s="112" t="s">
        <v>46</v>
      </c>
      <c r="C48" s="113" t="s">
        <v>1103</v>
      </c>
      <c r="D48" s="114" t="s">
        <v>1104</v>
      </c>
      <c r="E48" s="114" t="s">
        <v>1105</v>
      </c>
    </row>
    <row r="49" spans="2:5">
      <c r="B49" s="115" t="s">
        <v>1106</v>
      </c>
      <c r="C49" s="116" t="s">
        <v>1107</v>
      </c>
      <c r="D49" s="117">
        <v>2500</v>
      </c>
      <c r="E49" s="118" t="s">
        <v>1108</v>
      </c>
    </row>
    <row r="50" spans="2:5">
      <c r="B50" s="115" t="s">
        <v>1109</v>
      </c>
      <c r="C50" s="116" t="s">
        <v>1110</v>
      </c>
      <c r="D50" s="117" t="s">
        <v>1111</v>
      </c>
      <c r="E50" s="118" t="s">
        <v>1112</v>
      </c>
    </row>
    <row r="51" spans="2:5">
      <c r="B51" s="115" t="s">
        <v>1113</v>
      </c>
      <c r="C51" s="116" t="s">
        <v>1114</v>
      </c>
      <c r="D51" s="117" t="s">
        <v>1115</v>
      </c>
      <c r="E51" s="118" t="s">
        <v>57</v>
      </c>
    </row>
    <row r="52" spans="2:5">
      <c r="B52" s="115" t="s">
        <v>1116</v>
      </c>
      <c r="C52" s="116" t="s">
        <v>1117</v>
      </c>
      <c r="D52" s="117" t="s">
        <v>1118</v>
      </c>
      <c r="E52" s="118" t="s">
        <v>57</v>
      </c>
    </row>
    <row r="53" spans="2:5">
      <c r="B53" s="115" t="s">
        <v>1119</v>
      </c>
      <c r="C53" s="116" t="s">
        <v>1120</v>
      </c>
      <c r="D53" s="117" t="s">
        <v>1121</v>
      </c>
      <c r="E53" s="118" t="s">
        <v>57</v>
      </c>
    </row>
    <row r="54" spans="2:5">
      <c r="B54" s="115" t="s">
        <v>1122</v>
      </c>
      <c r="C54" s="116" t="s">
        <v>1123</v>
      </c>
      <c r="D54" s="117" t="s">
        <v>1124</v>
      </c>
      <c r="E54" s="118" t="s">
        <v>57</v>
      </c>
    </row>
    <row r="55" spans="2:5">
      <c r="B55" s="115" t="s">
        <v>1125</v>
      </c>
      <c r="C55" s="116" t="s">
        <v>1126</v>
      </c>
      <c r="D55" s="117" t="s">
        <v>1127</v>
      </c>
      <c r="E55" s="118" t="s">
        <v>57</v>
      </c>
    </row>
    <row r="56" spans="2:5">
      <c r="B56" s="115" t="s">
        <v>1128</v>
      </c>
      <c r="C56" s="116" t="s">
        <v>1129</v>
      </c>
      <c r="D56" s="117" t="s">
        <v>1130</v>
      </c>
      <c r="E56" s="118" t="s">
        <v>57</v>
      </c>
    </row>
    <row r="57" spans="2:5">
      <c r="B57" s="115" t="s">
        <v>1131</v>
      </c>
      <c r="C57" s="119" t="s">
        <v>1132</v>
      </c>
      <c r="D57" s="117" t="s">
        <v>1133</v>
      </c>
      <c r="E57" s="118" t="s">
        <v>57</v>
      </c>
    </row>
    <row r="58" spans="2:5">
      <c r="B58" s="115" t="s">
        <v>1134</v>
      </c>
      <c r="C58" s="116" t="s">
        <v>1135</v>
      </c>
      <c r="D58" s="117" t="s">
        <v>1136</v>
      </c>
      <c r="E58" s="118" t="s">
        <v>1137</v>
      </c>
    </row>
    <row r="59" spans="2:5">
      <c r="B59" s="115" t="s">
        <v>1138</v>
      </c>
      <c r="C59" s="116" t="s">
        <v>1139</v>
      </c>
      <c r="D59" s="117" t="s">
        <v>57</v>
      </c>
      <c r="E59" s="118" t="s">
        <v>57</v>
      </c>
    </row>
    <row r="60" spans="2:5">
      <c r="B60" s="115" t="s">
        <v>1140</v>
      </c>
      <c r="C60" s="116" t="s">
        <v>1141</v>
      </c>
      <c r="D60" s="117" t="s">
        <v>57</v>
      </c>
      <c r="E60" s="118" t="s">
        <v>1142</v>
      </c>
    </row>
  </sheetData>
  <mergeCells count="7">
    <mergeCell ref="B3:J3"/>
    <mergeCell ref="B27:J27"/>
    <mergeCell ref="B40:J40"/>
    <mergeCell ref="B47:J47"/>
    <mergeCell ref="B6:J6"/>
    <mergeCell ref="B12:J12"/>
    <mergeCell ref="B19:J1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63EC2-B1B2-4718-A457-418514D5E2E7}">
  <sheetPr>
    <tabColor rgb="FF228B22"/>
  </sheetPr>
  <dimension ref="A2:J80"/>
  <sheetViews>
    <sheetView showGridLines="0" workbookViewId="0">
      <pane xSplit="1" ySplit="3" topLeftCell="B4" activePane="bottomRight" state="frozen"/>
      <selection pane="bottomRight" activeCell="C12" activeCellId="1" sqref="D14:I14 C12:I12"/>
      <selection pane="bottomLeft"/>
      <selection pane="topRight"/>
    </sheetView>
  </sheetViews>
  <sheetFormatPr defaultRowHeight="15"/>
  <cols>
    <col min="1" max="1" width="1.85546875" customWidth="1"/>
    <col min="2" max="2" width="27.85546875" style="71" customWidth="1"/>
    <col min="3" max="3" width="17" style="70" bestFit="1" customWidth="1"/>
    <col min="4" max="4" width="16.7109375" style="70" bestFit="1" customWidth="1"/>
    <col min="5" max="5" width="14" style="70" bestFit="1" customWidth="1"/>
    <col min="6" max="6" width="17.28515625" style="70" bestFit="1" customWidth="1"/>
    <col min="7" max="9" width="12.7109375" style="70" bestFit="1" customWidth="1"/>
    <col min="10" max="10" width="9.140625" style="29"/>
  </cols>
  <sheetData>
    <row r="2" spans="1:10" ht="15.75">
      <c r="B2" s="700" t="s">
        <v>1143</v>
      </c>
      <c r="C2" s="700"/>
      <c r="D2" s="700"/>
      <c r="E2" s="700"/>
      <c r="F2" s="700"/>
      <c r="G2" s="700"/>
      <c r="H2" s="700"/>
      <c r="I2" s="700"/>
    </row>
    <row r="3" spans="1:10">
      <c r="B3" s="49" t="s">
        <v>127</v>
      </c>
      <c r="C3" s="50" t="s">
        <v>48</v>
      </c>
      <c r="D3" s="50" t="s">
        <v>49</v>
      </c>
      <c r="E3" s="50" t="s">
        <v>50</v>
      </c>
      <c r="F3" s="50" t="s">
        <v>51</v>
      </c>
      <c r="G3" s="50" t="s">
        <v>52</v>
      </c>
      <c r="H3" s="50" t="s">
        <v>53</v>
      </c>
      <c r="I3" s="50" t="s">
        <v>54</v>
      </c>
    </row>
    <row r="4" spans="1:10" s="1" customFormat="1">
      <c r="B4" s="51"/>
      <c r="C4" s="52"/>
      <c r="D4" s="52"/>
      <c r="E4" s="52"/>
      <c r="F4" s="52"/>
      <c r="G4" s="52"/>
      <c r="H4" s="52"/>
      <c r="I4" s="52"/>
      <c r="J4" s="36"/>
    </row>
    <row r="5" spans="1:10">
      <c r="A5" t="s">
        <v>132</v>
      </c>
      <c r="B5" s="794" t="s">
        <v>1144</v>
      </c>
      <c r="C5" s="794"/>
      <c r="D5" s="794"/>
      <c r="E5" s="794"/>
      <c r="F5" s="794"/>
      <c r="G5" s="794"/>
      <c r="H5" s="794"/>
      <c r="I5" s="794"/>
    </row>
    <row r="6" spans="1:10" s="1" customFormat="1">
      <c r="B6" s="53" t="s">
        <v>355</v>
      </c>
      <c r="C6" s="54">
        <f>'Revenue Model'!D7</f>
        <v>26305</v>
      </c>
      <c r="D6" s="54">
        <f>'Revenue Model'!E7</f>
        <v>32224</v>
      </c>
      <c r="E6" s="54">
        <f>'Revenue Model'!F7</f>
        <v>38646</v>
      </c>
      <c r="F6" s="54">
        <f>'Revenue Model'!G7</f>
        <v>45602.28</v>
      </c>
      <c r="G6" s="54">
        <f>'Revenue Model'!H7</f>
        <v>54722.735999999997</v>
      </c>
      <c r="H6" s="54">
        <f>'Revenue Model'!I7</f>
        <v>65120.055839999994</v>
      </c>
      <c r="I6" s="54">
        <f>'Revenue Model'!J7</f>
        <v>76190.465332799984</v>
      </c>
      <c r="J6" s="36"/>
    </row>
    <row r="7" spans="1:10" s="1" customFormat="1">
      <c r="B7" s="53" t="s">
        <v>1145</v>
      </c>
      <c r="C7" s="54">
        <f>'Revenue Model'!D9</f>
        <v>22490.774999999998</v>
      </c>
      <c r="D7" s="54">
        <f>'Revenue Model'!E9</f>
        <v>27487.072</v>
      </c>
      <c r="E7" s="54">
        <f>'Revenue Model'!F9</f>
        <v>32849.1</v>
      </c>
      <c r="F7" s="54">
        <f>'Revenue Model'!G9</f>
        <v>38761.937999999995</v>
      </c>
      <c r="G7" s="54">
        <f>'Revenue Model'!H9</f>
        <v>46240.711919999994</v>
      </c>
      <c r="H7" s="54">
        <f>'Revenue Model'!I9</f>
        <v>54700.846905599996</v>
      </c>
      <c r="I7" s="54">
        <f>'Revenue Model'!J9</f>
        <v>63619.038552887985</v>
      </c>
      <c r="J7" s="36"/>
    </row>
    <row r="8" spans="1:10" s="1" customFormat="1">
      <c r="B8" s="53" t="s">
        <v>1146</v>
      </c>
      <c r="C8" s="55" t="s">
        <v>57</v>
      </c>
      <c r="D8" s="55">
        <f>(D6-C6)/C6</f>
        <v>0.2250142558448964</v>
      </c>
      <c r="E8" s="55">
        <f t="shared" ref="E8:I8" si="0">(E6-D6)/D6</f>
        <v>0.19929245283018868</v>
      </c>
      <c r="F8" s="55">
        <f t="shared" si="0"/>
        <v>0.17999999999999997</v>
      </c>
      <c r="G8" s="55">
        <f t="shared" si="0"/>
        <v>0.19999999999999996</v>
      </c>
      <c r="H8" s="55">
        <f t="shared" si="0"/>
        <v>0.18999999999999995</v>
      </c>
      <c r="I8" s="55">
        <f t="shared" si="0"/>
        <v>0.16999999999999987</v>
      </c>
      <c r="J8" s="36"/>
    </row>
    <row r="9" spans="1:10" s="1" customFormat="1">
      <c r="B9" s="53" t="s">
        <v>1147</v>
      </c>
      <c r="C9" s="54">
        <f>'Revenue Model'!D18</f>
        <v>4533</v>
      </c>
      <c r="D9" s="54">
        <f>'Revenue Model'!E18</f>
        <v>6361</v>
      </c>
      <c r="E9" s="54">
        <f>'Revenue Model'!F18</f>
        <v>8080</v>
      </c>
      <c r="F9" s="54">
        <f>'Revenue Model'!G18</f>
        <v>9804.4902000000002</v>
      </c>
      <c r="G9" s="54">
        <f>'Revenue Model'!H18</f>
        <v>12039.001919999999</v>
      </c>
      <c r="H9" s="54">
        <f>'Revenue Model'!I18</f>
        <v>14652.012563999999</v>
      </c>
      <c r="I9" s="54">
        <f>'Revenue Model'!J18</f>
        <v>17142.854699879997</v>
      </c>
      <c r="J9" s="36"/>
    </row>
    <row r="10" spans="1:10" s="1" customFormat="1">
      <c r="B10" s="53" t="s">
        <v>1148</v>
      </c>
      <c r="C10" s="55">
        <f>'Revenue Model'!D17</f>
        <v>0.17199999999999999</v>
      </c>
      <c r="D10" s="55">
        <f>'Revenue Model'!E17</f>
        <v>0.19700000000000001</v>
      </c>
      <c r="E10" s="55">
        <f>'Revenue Model'!F17</f>
        <v>0.20899999999999999</v>
      </c>
      <c r="F10" s="55">
        <f>'Revenue Model'!G17</f>
        <v>0.215</v>
      </c>
      <c r="G10" s="55">
        <f>'Revenue Model'!H17</f>
        <v>0.22</v>
      </c>
      <c r="H10" s="55">
        <f>'Revenue Model'!I17</f>
        <v>0.22500000000000001</v>
      </c>
      <c r="I10" s="55">
        <f>'Revenue Model'!J17</f>
        <v>0.22500000000000001</v>
      </c>
      <c r="J10" s="36"/>
    </row>
    <row r="11" spans="1:10" s="1" customFormat="1">
      <c r="B11" s="53" t="s">
        <v>358</v>
      </c>
      <c r="C11" s="543">
        <v>4763</v>
      </c>
      <c r="D11" s="543">
        <v>6147</v>
      </c>
      <c r="E11" s="543">
        <v>7792</v>
      </c>
      <c r="F11" s="543">
        <v>9418</v>
      </c>
      <c r="G11" s="543">
        <v>11017</v>
      </c>
      <c r="H11" s="543">
        <v>13543</v>
      </c>
      <c r="I11" s="543">
        <v>16508</v>
      </c>
      <c r="J11" s="36"/>
    </row>
    <row r="12" spans="1:10" s="1" customFormat="1">
      <c r="B12" s="53" t="s">
        <v>1149</v>
      </c>
      <c r="C12" s="363">
        <v>0.224</v>
      </c>
      <c r="D12" s="363">
        <v>0.23400000000000001</v>
      </c>
      <c r="E12" s="363">
        <v>0.24199999999999999</v>
      </c>
      <c r="F12" s="363">
        <v>0.24399999999999999</v>
      </c>
      <c r="G12" s="363">
        <v>0.24199999999999999</v>
      </c>
      <c r="H12" s="363">
        <v>0.247</v>
      </c>
      <c r="I12" s="363">
        <v>0.254</v>
      </c>
      <c r="J12" s="36"/>
    </row>
    <row r="13" spans="1:10" s="1" customFormat="1">
      <c r="B13" s="53" t="s">
        <v>370</v>
      </c>
      <c r="C13" s="543" t="s">
        <v>1150</v>
      </c>
      <c r="D13" s="543">
        <v>1196</v>
      </c>
      <c r="E13" s="543">
        <v>2225</v>
      </c>
      <c r="F13" s="543">
        <v>3092</v>
      </c>
      <c r="G13" s="543">
        <v>3582</v>
      </c>
      <c r="H13" s="543">
        <v>4624</v>
      </c>
      <c r="I13" s="543">
        <v>5897</v>
      </c>
      <c r="J13" s="36"/>
    </row>
    <row r="14" spans="1:10" s="1" customFormat="1">
      <c r="B14" s="53" t="s">
        <v>1151</v>
      </c>
      <c r="C14" s="91" t="s">
        <v>1152</v>
      </c>
      <c r="D14" s="363">
        <v>5.2999999999999999E-2</v>
      </c>
      <c r="E14" s="363">
        <v>8.1000000000000003E-2</v>
      </c>
      <c r="F14" s="363">
        <v>9.4E-2</v>
      </c>
      <c r="G14" s="363">
        <v>9.1999999999999998E-2</v>
      </c>
      <c r="H14" s="363">
        <v>0.1</v>
      </c>
      <c r="I14" s="363">
        <v>0.108</v>
      </c>
      <c r="J14" s="36"/>
    </row>
    <row r="15" spans="1:10" s="1" customFormat="1">
      <c r="B15" s="57" t="s">
        <v>1015</v>
      </c>
      <c r="C15" s="54">
        <f>'Revenue Model'!D22</f>
        <v>-10</v>
      </c>
      <c r="D15" s="54">
        <f>'Revenue Model'!E22</f>
        <v>912</v>
      </c>
      <c r="E15" s="54">
        <f>'Revenue Model'!F22</f>
        <v>1505</v>
      </c>
      <c r="F15" s="54">
        <f>'Revenue Model'!G22</f>
        <v>2015.6207759999995</v>
      </c>
      <c r="G15" s="54">
        <f>'Revenue Model'!H22</f>
        <v>2543.2391555999998</v>
      </c>
      <c r="H15" s="54">
        <f>'Revenue Model'!I22</f>
        <v>3117.9482736191999</v>
      </c>
      <c r="I15" s="54">
        <f>'Revenue Model'!J22</f>
        <v>3689.9042360675035</v>
      </c>
      <c r="J15" s="36"/>
    </row>
    <row r="16" spans="1:10" s="1" customFormat="1">
      <c r="B16" s="57" t="s">
        <v>1153</v>
      </c>
      <c r="C16" s="55">
        <f>'Revenue Model'!D21</f>
        <v>0</v>
      </c>
      <c r="D16" s="55">
        <f>'Revenue Model'!E21</f>
        <v>3.3000000000000002E-2</v>
      </c>
      <c r="E16" s="55">
        <f>'Revenue Model'!F21</f>
        <v>4.5999999999999999E-2</v>
      </c>
      <c r="F16" s="55">
        <f>'Revenue Model'!G21</f>
        <v>5.1999999999999998E-2</v>
      </c>
      <c r="G16" s="55">
        <f>'Revenue Model'!H21</f>
        <v>5.5E-2</v>
      </c>
      <c r="H16" s="55">
        <f>'Revenue Model'!I21</f>
        <v>5.7000000000000002E-2</v>
      </c>
      <c r="I16" s="55">
        <f>'Revenue Model'!J21</f>
        <v>5.8000000000000003E-2</v>
      </c>
      <c r="J16" s="36"/>
    </row>
    <row r="17" spans="1:10" s="1" customFormat="1">
      <c r="B17" s="53" t="s">
        <v>1154</v>
      </c>
      <c r="C17" s="58"/>
      <c r="D17" s="91">
        <v>647</v>
      </c>
      <c r="E17" s="91">
        <v>753</v>
      </c>
      <c r="F17" s="91">
        <v>853</v>
      </c>
      <c r="G17" s="91">
        <v>933</v>
      </c>
      <c r="H17" s="89">
        <v>1020</v>
      </c>
      <c r="I17" s="89">
        <v>1106</v>
      </c>
      <c r="J17" s="36"/>
    </row>
    <row r="18" spans="1:10">
      <c r="B18" s="53" t="s">
        <v>1155</v>
      </c>
      <c r="C18" s="91">
        <v>14.7</v>
      </c>
      <c r="D18" s="91">
        <v>17</v>
      </c>
      <c r="E18" s="91">
        <v>18.399999999999999</v>
      </c>
      <c r="F18" s="91">
        <v>20.6</v>
      </c>
      <c r="G18" s="91">
        <v>22.5</v>
      </c>
      <c r="H18" s="91">
        <v>24.5</v>
      </c>
      <c r="I18" s="91">
        <v>26.5</v>
      </c>
    </row>
    <row r="19" spans="1:10">
      <c r="B19" s="53" t="s">
        <v>670</v>
      </c>
      <c r="C19" s="59">
        <f>'Revenue Model'!D11</f>
        <v>407</v>
      </c>
      <c r="D19" s="59">
        <f>'Revenue Model'!E11</f>
        <v>428</v>
      </c>
      <c r="E19" s="59">
        <f>'Revenue Model'!F11</f>
        <v>453</v>
      </c>
      <c r="F19" s="59">
        <f>'Revenue Model'!G11</f>
        <v>473</v>
      </c>
      <c r="G19" s="59">
        <f>'Revenue Model'!H11</f>
        <v>493</v>
      </c>
      <c r="H19" s="59">
        <f>'Revenue Model'!I11</f>
        <v>514</v>
      </c>
      <c r="I19" s="59">
        <f>'Revenue Model'!J11</f>
        <v>536</v>
      </c>
    </row>
    <row r="20" spans="1:10">
      <c r="B20" s="53" t="s">
        <v>1156</v>
      </c>
      <c r="C20" s="91" t="s">
        <v>1150</v>
      </c>
      <c r="D20" s="91">
        <v>348</v>
      </c>
      <c r="E20" s="91">
        <v>365</v>
      </c>
      <c r="F20" s="91">
        <v>385</v>
      </c>
      <c r="G20" s="91">
        <v>403</v>
      </c>
      <c r="H20" s="91">
        <v>420</v>
      </c>
      <c r="I20" s="91">
        <v>437</v>
      </c>
    </row>
    <row r="21" spans="1:10">
      <c r="B21" s="60" t="s">
        <v>1157</v>
      </c>
      <c r="C21" s="61">
        <f>'Revenue Model'!D13</f>
        <v>210</v>
      </c>
      <c r="D21" s="61">
        <f>'Revenue Model'!E13</f>
        <v>247</v>
      </c>
      <c r="E21" s="61">
        <f>'Revenue Model'!F13</f>
        <v>297</v>
      </c>
      <c r="F21" s="61">
        <f>'Revenue Model'!G13</f>
        <v>329.67</v>
      </c>
      <c r="G21" s="61">
        <f>'Revenue Model'!H13</f>
        <v>362.63700000000006</v>
      </c>
      <c r="H21" s="61">
        <f>'Revenue Model'!I13</f>
        <v>398.90070000000009</v>
      </c>
      <c r="I21" s="61">
        <f>'Revenue Model'!J13</f>
        <v>434.80176300000011</v>
      </c>
    </row>
    <row r="22" spans="1:10">
      <c r="B22" s="62" t="s">
        <v>374</v>
      </c>
      <c r="C22" s="63">
        <f>'Revenue Model'!D14</f>
        <v>326</v>
      </c>
      <c r="D22" s="63">
        <f>'Revenue Model'!E14</f>
        <v>400</v>
      </c>
      <c r="E22" s="63">
        <f>'Revenue Model'!F14</f>
        <v>473</v>
      </c>
      <c r="F22" s="63">
        <f>'Revenue Model'!G14</f>
        <v>525.03000000000009</v>
      </c>
      <c r="G22" s="63">
        <f>'Revenue Model'!H14</f>
        <v>577.53300000000013</v>
      </c>
      <c r="H22" s="63">
        <f>'Revenue Model'!I14</f>
        <v>635.28630000000021</v>
      </c>
      <c r="I22" s="63">
        <f>'Revenue Model'!J14</f>
        <v>692.46206700000027</v>
      </c>
    </row>
    <row r="23" spans="1:10">
      <c r="B23" s="57"/>
      <c r="C23" s="64"/>
      <c r="D23" s="64"/>
      <c r="E23" s="64"/>
      <c r="F23" s="64"/>
      <c r="G23" s="64"/>
      <c r="H23" s="64"/>
      <c r="I23" s="64"/>
    </row>
    <row r="24" spans="1:10">
      <c r="A24" t="s">
        <v>132</v>
      </c>
      <c r="B24" s="794" t="s">
        <v>1158</v>
      </c>
      <c r="C24" s="794"/>
      <c r="D24" s="794"/>
      <c r="E24" s="794"/>
      <c r="F24" s="794"/>
      <c r="G24" s="794"/>
      <c r="H24" s="794"/>
      <c r="I24" s="794"/>
    </row>
    <row r="25" spans="1:10" s="1" customFormat="1">
      <c r="B25" s="53" t="s">
        <v>479</v>
      </c>
      <c r="C25" s="65">
        <f>'Revenue Model'!D27</f>
        <v>377</v>
      </c>
      <c r="D25" s="65">
        <f>'Revenue Model'!E27</f>
        <v>526</v>
      </c>
      <c r="E25" s="65">
        <f>'Revenue Model'!F27</f>
        <v>1301</v>
      </c>
      <c r="F25" s="65">
        <f>'Revenue Model'!G27</f>
        <v>1950</v>
      </c>
      <c r="G25" s="65">
        <f>'Revenue Model'!H27</f>
        <v>2600</v>
      </c>
      <c r="H25" s="65">
        <f>'Revenue Model'!I27</f>
        <v>3300</v>
      </c>
      <c r="I25" s="65">
        <f>'Revenue Model'!J27</f>
        <v>3700</v>
      </c>
      <c r="J25" s="36"/>
    </row>
    <row r="26" spans="1:10" s="1" customFormat="1">
      <c r="B26" s="53" t="s">
        <v>682</v>
      </c>
      <c r="C26" s="65">
        <f>'Revenue Model'!D28</f>
        <v>0</v>
      </c>
      <c r="D26" s="65">
        <f>'Revenue Model'!E28</f>
        <v>149</v>
      </c>
      <c r="E26" s="65">
        <f>'Revenue Model'!F28</f>
        <v>775</v>
      </c>
      <c r="F26" s="65">
        <f>'Revenue Model'!G28</f>
        <v>649</v>
      </c>
      <c r="G26" s="65">
        <f>'Revenue Model'!H28</f>
        <v>650</v>
      </c>
      <c r="H26" s="65">
        <f>'Revenue Model'!I28</f>
        <v>700</v>
      </c>
      <c r="I26" s="65">
        <f>'Revenue Model'!J28</f>
        <v>400</v>
      </c>
      <c r="J26" s="36"/>
    </row>
    <row r="27" spans="1:10" s="1" customFormat="1">
      <c r="B27" s="53" t="s">
        <v>391</v>
      </c>
      <c r="C27" s="91" t="s">
        <v>57</v>
      </c>
      <c r="D27" s="91">
        <v>19</v>
      </c>
      <c r="E27" s="91">
        <v>26</v>
      </c>
      <c r="F27" s="91" t="s">
        <v>392</v>
      </c>
      <c r="G27" s="91" t="s">
        <v>1159</v>
      </c>
      <c r="H27" s="91" t="s">
        <v>1160</v>
      </c>
      <c r="I27" s="91" t="s">
        <v>1161</v>
      </c>
      <c r="J27" s="36"/>
    </row>
    <row r="28" spans="1:10" s="1" customFormat="1">
      <c r="B28" s="53" t="s">
        <v>355</v>
      </c>
      <c r="C28" s="91" t="s">
        <v>57</v>
      </c>
      <c r="D28" s="89">
        <v>6449</v>
      </c>
      <c r="E28" s="89">
        <v>12469</v>
      </c>
      <c r="F28" s="89">
        <v>28273</v>
      </c>
      <c r="G28" s="89">
        <v>50335</v>
      </c>
      <c r="H28" s="89">
        <v>75503</v>
      </c>
      <c r="I28" s="89">
        <v>101928</v>
      </c>
      <c r="J28" s="36"/>
    </row>
    <row r="29" spans="1:10" s="1" customFormat="1">
      <c r="B29" s="53" t="s">
        <v>1145</v>
      </c>
      <c r="C29" s="66">
        <f>'Revenue Model'!D34</f>
        <v>5690</v>
      </c>
      <c r="D29" s="66">
        <f>'Revenue Model'!E34</f>
        <v>10503</v>
      </c>
      <c r="E29" s="66">
        <f>'Revenue Model'!F34</f>
        <v>22371</v>
      </c>
      <c r="F29" s="66">
        <f>'Revenue Model'!G34</f>
        <v>33556.5</v>
      </c>
      <c r="G29" s="66">
        <f>'Revenue Model'!H34</f>
        <v>50334.75</v>
      </c>
      <c r="H29" s="66">
        <f>'Revenue Model'!I34</f>
        <v>67951.912500000006</v>
      </c>
      <c r="I29" s="66">
        <f>'Revenue Model'!J34</f>
        <v>81542.294999999998</v>
      </c>
      <c r="J29" s="36"/>
    </row>
    <row r="30" spans="1:10" s="1" customFormat="1">
      <c r="B30" s="53" t="s">
        <v>1162</v>
      </c>
      <c r="C30" s="67" t="str">
        <f>'Revenue Model'!D33</f>
        <v>-</v>
      </c>
      <c r="D30" s="67">
        <f>'Revenue Model'!E33</f>
        <v>0.85</v>
      </c>
      <c r="E30" s="67">
        <f>'Revenue Model'!F33</f>
        <v>1.1299999999999999</v>
      </c>
      <c r="F30" s="67">
        <f>'Revenue Model'!G33</f>
        <v>0.5</v>
      </c>
      <c r="G30" s="67">
        <f>'Revenue Model'!H33</f>
        <v>0.5</v>
      </c>
      <c r="H30" s="67">
        <f>'Revenue Model'!I33</f>
        <v>0.35</v>
      </c>
      <c r="I30" s="67">
        <f>'Revenue Model'!J33</f>
        <v>0.2</v>
      </c>
      <c r="J30" s="36"/>
    </row>
    <row r="31" spans="1:10" s="1" customFormat="1">
      <c r="B31" s="53" t="s">
        <v>386</v>
      </c>
      <c r="C31" s="65">
        <f>'Revenue Model'!D36</f>
        <v>806</v>
      </c>
      <c r="D31" s="65">
        <f>'Revenue Model'!E36</f>
        <v>2301</v>
      </c>
      <c r="E31" s="65">
        <f>'Revenue Model'!F36</f>
        <v>5206</v>
      </c>
      <c r="F31" s="68">
        <f>'Revenue Model'!G36</f>
        <v>7885.7774999999992</v>
      </c>
      <c r="G31" s="68">
        <f>'Revenue Model'!H36</f>
        <v>12080.34</v>
      </c>
      <c r="H31" s="68">
        <f>'Revenue Model'!I36</f>
        <v>16648.218562500002</v>
      </c>
      <c r="I31" s="68">
        <f>'Revenue Model'!J36</f>
        <v>20385.57375</v>
      </c>
      <c r="J31" s="36"/>
    </row>
    <row r="32" spans="1:10" s="1" customFormat="1">
      <c r="B32" s="53" t="s">
        <v>1163</v>
      </c>
      <c r="C32" s="67">
        <f>'Revenue Model'!D35</f>
        <v>0.14199999999999999</v>
      </c>
      <c r="D32" s="67">
        <f>'Revenue Model'!E35</f>
        <v>0.219</v>
      </c>
      <c r="E32" s="67">
        <f>'Revenue Model'!F35</f>
        <v>0.23300000000000001</v>
      </c>
      <c r="F32" s="67">
        <f>'Revenue Model'!G35</f>
        <v>0.23499999999999999</v>
      </c>
      <c r="G32" s="67">
        <f>'Revenue Model'!H35</f>
        <v>0.24</v>
      </c>
      <c r="H32" s="67">
        <f>'Revenue Model'!I35</f>
        <v>0.245</v>
      </c>
      <c r="I32" s="67">
        <f>'Revenue Model'!J35</f>
        <v>0.25</v>
      </c>
      <c r="J32" s="36"/>
    </row>
    <row r="33" spans="1:10" s="1" customFormat="1">
      <c r="B33" s="53" t="s">
        <v>1154</v>
      </c>
      <c r="C33" s="65"/>
      <c r="D33" s="91">
        <v>119</v>
      </c>
      <c r="E33" s="91">
        <v>203</v>
      </c>
      <c r="F33" s="91">
        <v>424</v>
      </c>
      <c r="G33" s="91">
        <v>767</v>
      </c>
      <c r="H33" s="89">
        <v>1209</v>
      </c>
      <c r="I33" s="89">
        <v>1710</v>
      </c>
      <c r="J33" s="36"/>
    </row>
    <row r="34" spans="1:10" s="1" customFormat="1">
      <c r="B34" s="53" t="s">
        <v>670</v>
      </c>
      <c r="C34" s="91" t="s">
        <v>57</v>
      </c>
      <c r="D34" s="91">
        <v>541</v>
      </c>
      <c r="E34" s="91">
        <v>613</v>
      </c>
      <c r="F34" s="91">
        <v>667</v>
      </c>
      <c r="G34" s="91">
        <v>687</v>
      </c>
      <c r="H34" s="91">
        <v>708</v>
      </c>
      <c r="I34" s="91">
        <v>729</v>
      </c>
      <c r="J34" s="36"/>
    </row>
    <row r="35" spans="1:10" s="1" customFormat="1">
      <c r="B35" s="53" t="s">
        <v>1156</v>
      </c>
      <c r="C35" s="91" t="s">
        <v>57</v>
      </c>
      <c r="D35" s="91">
        <v>478</v>
      </c>
      <c r="E35" s="91">
        <v>517</v>
      </c>
      <c r="F35" s="91">
        <v>528</v>
      </c>
      <c r="G35" s="91">
        <v>542</v>
      </c>
      <c r="H35" s="91">
        <v>556</v>
      </c>
      <c r="I35" s="91">
        <v>570</v>
      </c>
      <c r="J35" s="36"/>
    </row>
    <row r="36" spans="1:10" s="1" customFormat="1">
      <c r="B36" s="53" t="s">
        <v>1155</v>
      </c>
      <c r="C36" s="91" t="s">
        <v>57</v>
      </c>
      <c r="D36" s="91">
        <v>2.9</v>
      </c>
      <c r="E36" s="91">
        <v>5.0999999999999996</v>
      </c>
      <c r="F36" s="91">
        <v>10.199999999999999</v>
      </c>
      <c r="G36" s="91">
        <v>17</v>
      </c>
      <c r="H36" s="91">
        <v>24</v>
      </c>
      <c r="I36" s="91">
        <v>32</v>
      </c>
      <c r="J36" s="36"/>
    </row>
    <row r="37" spans="1:10">
      <c r="B37" s="53" t="s">
        <v>1164</v>
      </c>
      <c r="C37" s="91" t="s">
        <v>57</v>
      </c>
      <c r="D37" s="91">
        <v>414</v>
      </c>
      <c r="E37" s="91">
        <v>672</v>
      </c>
      <c r="F37" s="91">
        <v>766</v>
      </c>
      <c r="G37" s="91">
        <v>800</v>
      </c>
      <c r="H37" s="91">
        <v>850</v>
      </c>
      <c r="I37" s="91">
        <v>900</v>
      </c>
    </row>
    <row r="38" spans="1:10">
      <c r="B38" s="53" t="s">
        <v>393</v>
      </c>
      <c r="C38" s="91" t="s">
        <v>57</v>
      </c>
      <c r="D38" s="91">
        <v>3.7</v>
      </c>
      <c r="E38" s="91">
        <v>4.8</v>
      </c>
      <c r="F38" s="91">
        <v>7.2</v>
      </c>
      <c r="G38" s="91">
        <v>9</v>
      </c>
      <c r="H38" s="91">
        <v>11.5</v>
      </c>
      <c r="I38" s="91">
        <v>14</v>
      </c>
    </row>
    <row r="39" spans="1:10">
      <c r="B39" s="53" t="s">
        <v>370</v>
      </c>
      <c r="C39" s="91" t="s">
        <v>57</v>
      </c>
      <c r="D39" s="543">
        <v>-445</v>
      </c>
      <c r="E39" s="543">
        <v>266</v>
      </c>
      <c r="F39" s="543">
        <v>953</v>
      </c>
      <c r="G39" s="543">
        <v>1608</v>
      </c>
      <c r="H39" s="543">
        <v>3627</v>
      </c>
      <c r="I39" s="543">
        <v>6888</v>
      </c>
    </row>
    <row r="40" spans="1:10">
      <c r="B40" s="53" t="s">
        <v>1151</v>
      </c>
      <c r="C40" s="91" t="s">
        <v>57</v>
      </c>
      <c r="D40" s="363">
        <v>-7.8E-2</v>
      </c>
      <c r="E40" s="363">
        <v>2.5000000000000001E-2</v>
      </c>
      <c r="F40" s="363">
        <v>4.2999999999999997E-2</v>
      </c>
      <c r="G40" s="363">
        <v>0.04</v>
      </c>
      <c r="H40" s="363">
        <v>0.06</v>
      </c>
      <c r="I40" s="363">
        <v>8.5000000000000006E-2</v>
      </c>
    </row>
    <row r="41" spans="1:10">
      <c r="B41" s="57" t="s">
        <v>1015</v>
      </c>
      <c r="C41" s="69">
        <f>'Revenue Model'!D42</f>
        <v>-1016</v>
      </c>
      <c r="D41" s="69">
        <f>'Revenue Model'!E42</f>
        <v>-384</v>
      </c>
      <c r="E41" s="69">
        <f>'Revenue Model'!F42</f>
        <v>-292</v>
      </c>
      <c r="F41" s="69">
        <f>'Revenue Model'!G42</f>
        <v>328.8537</v>
      </c>
      <c r="G41" s="69">
        <f>'Revenue Model'!H42</f>
        <v>1006.6950000000002</v>
      </c>
      <c r="H41" s="69">
        <f>'Revenue Model'!I42</f>
        <v>2378.3169375000002</v>
      </c>
      <c r="I41" s="69">
        <f>'Revenue Model'!J42</f>
        <v>3669.4032749999997</v>
      </c>
    </row>
    <row r="42" spans="1:10">
      <c r="B42" s="57" t="s">
        <v>1153</v>
      </c>
      <c r="C42" s="91"/>
      <c r="D42" s="363">
        <v>-0.17799999999999999</v>
      </c>
      <c r="E42" s="363">
        <v>-3.6999999999999998E-2</v>
      </c>
      <c r="F42" s="363">
        <v>-1.2999999999999999E-2</v>
      </c>
      <c r="G42" s="363">
        <v>0.01</v>
      </c>
      <c r="H42" s="363">
        <v>0.02</v>
      </c>
      <c r="I42" s="363">
        <v>3.5000000000000003E-2</v>
      </c>
    </row>
    <row r="43" spans="1:10">
      <c r="B43" s="60" t="s">
        <v>684</v>
      </c>
      <c r="C43" s="91" t="s">
        <v>57</v>
      </c>
      <c r="D43" s="589" t="s">
        <v>367</v>
      </c>
      <c r="E43" s="589" t="s">
        <v>367</v>
      </c>
      <c r="F43" s="589">
        <v>936</v>
      </c>
      <c r="G43" s="589">
        <v>910</v>
      </c>
      <c r="H43" s="795">
        <v>1040</v>
      </c>
      <c r="I43" s="795">
        <v>1190</v>
      </c>
    </row>
    <row r="44" spans="1:10">
      <c r="B44" s="60" t="s">
        <v>1165</v>
      </c>
      <c r="C44" s="91" t="s">
        <v>57</v>
      </c>
      <c r="D44" s="589" t="s">
        <v>367</v>
      </c>
      <c r="E44" s="589" t="s">
        <v>367</v>
      </c>
      <c r="F44" s="589">
        <v>1.21</v>
      </c>
      <c r="G44" s="589">
        <v>1.4</v>
      </c>
      <c r="H44" s="589">
        <v>1.6</v>
      </c>
      <c r="I44" s="589">
        <v>1.7</v>
      </c>
    </row>
    <row r="45" spans="1:10">
      <c r="B45" s="62" t="s">
        <v>1166</v>
      </c>
      <c r="C45" s="590" t="s">
        <v>57</v>
      </c>
      <c r="D45" s="590" t="s">
        <v>818</v>
      </c>
      <c r="E45" s="590" t="s">
        <v>818</v>
      </c>
      <c r="F45" s="590" t="s">
        <v>818</v>
      </c>
      <c r="G45" s="796">
        <v>0.11</v>
      </c>
      <c r="H45" s="796">
        <v>0.24</v>
      </c>
      <c r="I45" s="796">
        <v>0.46</v>
      </c>
    </row>
    <row r="46" spans="1:10">
      <c r="B46" s="53"/>
    </row>
    <row r="47" spans="1:10">
      <c r="A47" t="s">
        <v>132</v>
      </c>
      <c r="B47" s="794" t="s">
        <v>1167</v>
      </c>
      <c r="C47" s="794"/>
      <c r="D47" s="794"/>
      <c r="E47" s="794"/>
      <c r="F47" s="794"/>
      <c r="G47" s="794"/>
      <c r="H47" s="794"/>
      <c r="I47" s="794"/>
    </row>
    <row r="48" spans="1:10" s="1" customFormat="1">
      <c r="B48" s="71" t="s">
        <v>386</v>
      </c>
      <c r="C48" s="72">
        <f>'Revenue Model'!D46</f>
        <v>1506</v>
      </c>
      <c r="D48" s="72">
        <f>'Revenue Model'!E46</f>
        <v>3172</v>
      </c>
      <c r="E48" s="72">
        <f>'Revenue Model'!F46</f>
        <v>6196</v>
      </c>
      <c r="F48" s="72">
        <f>'Revenue Model'!G46</f>
        <v>9913.6</v>
      </c>
      <c r="G48" s="72">
        <f>'Revenue Model'!H46</f>
        <v>14374.72</v>
      </c>
      <c r="H48" s="72">
        <f>'Revenue Model'!I46</f>
        <v>19405.871999999999</v>
      </c>
      <c r="I48" s="72">
        <f>'Revenue Model'!J46</f>
        <v>24257.34</v>
      </c>
      <c r="J48" s="36"/>
    </row>
    <row r="49" spans="1:10" s="1" customFormat="1">
      <c r="B49" s="71" t="s">
        <v>140</v>
      </c>
      <c r="C49" s="73">
        <f>'Revenue Model'!D47</f>
        <v>1.8</v>
      </c>
      <c r="D49" s="73">
        <f>'Revenue Model'!E47</f>
        <v>1.1100000000000001</v>
      </c>
      <c r="E49" s="73">
        <f>'Revenue Model'!F47</f>
        <v>0.95</v>
      </c>
      <c r="F49" s="73">
        <f>'Revenue Model'!G47</f>
        <v>0.6</v>
      </c>
      <c r="G49" s="73">
        <f>'Revenue Model'!H47</f>
        <v>0.45</v>
      </c>
      <c r="H49" s="73">
        <f>'Revenue Model'!I47</f>
        <v>0.35</v>
      </c>
      <c r="I49" s="73">
        <f>'Revenue Model'!J47</f>
        <v>0.25</v>
      </c>
      <c r="J49" s="36"/>
    </row>
    <row r="50" spans="1:10" s="1" customFormat="1">
      <c r="B50" s="71" t="s">
        <v>1168</v>
      </c>
      <c r="C50" s="56" t="s">
        <v>367</v>
      </c>
      <c r="D50" s="56" t="s">
        <v>367</v>
      </c>
      <c r="E50" s="56" t="s">
        <v>367</v>
      </c>
      <c r="F50" s="56" t="s">
        <v>57</v>
      </c>
      <c r="G50" s="56" t="s">
        <v>57</v>
      </c>
      <c r="H50" s="56" t="s">
        <v>57</v>
      </c>
      <c r="I50" s="56" t="s">
        <v>57</v>
      </c>
      <c r="J50" s="36"/>
    </row>
    <row r="51" spans="1:10" s="1" customFormat="1">
      <c r="B51" s="71" t="s">
        <v>375</v>
      </c>
      <c r="C51" s="56" t="s">
        <v>367</v>
      </c>
      <c r="D51" s="56" t="s">
        <v>367</v>
      </c>
      <c r="E51" s="56" t="s">
        <v>367</v>
      </c>
      <c r="F51" s="56" t="s">
        <v>57</v>
      </c>
      <c r="G51" s="56" t="s">
        <v>57</v>
      </c>
      <c r="H51" s="56" t="s">
        <v>57</v>
      </c>
      <c r="I51" s="56" t="s">
        <v>57</v>
      </c>
      <c r="J51" s="36"/>
    </row>
    <row r="52" spans="1:10" s="1" customFormat="1">
      <c r="B52" s="75" t="s">
        <v>1015</v>
      </c>
      <c r="C52" s="76">
        <f>'Revenue Model'!D48</f>
        <v>-194</v>
      </c>
      <c r="D52" s="76">
        <f>'Revenue Model'!E48</f>
        <v>-126</v>
      </c>
      <c r="E52" s="76">
        <f>'Revenue Model'!F48</f>
        <v>-84</v>
      </c>
      <c r="F52" s="76">
        <f>'Revenue Model'!G48</f>
        <v>99.13600000000001</v>
      </c>
      <c r="G52" s="76">
        <f>'Revenue Model'!H48</f>
        <v>287.49439999999998</v>
      </c>
      <c r="H52" s="76">
        <f>'Revenue Model'!I48</f>
        <v>679.20552000000009</v>
      </c>
      <c r="I52" s="76">
        <f>'Revenue Model'!J48</f>
        <v>1091.5803000000001</v>
      </c>
      <c r="J52" s="36"/>
    </row>
    <row r="53" spans="1:10" s="1" customFormat="1">
      <c r="B53" s="77" t="s">
        <v>59</v>
      </c>
      <c r="C53" s="78">
        <f>'Revenue Model'!D49</f>
        <v>-0.129</v>
      </c>
      <c r="D53" s="78">
        <f>'Revenue Model'!E49</f>
        <v>-3.9E-2</v>
      </c>
      <c r="E53" s="78">
        <f>'Revenue Model'!F49</f>
        <v>-1.4E-2</v>
      </c>
      <c r="F53" s="78">
        <f>'Revenue Model'!G49</f>
        <v>0.01</v>
      </c>
      <c r="G53" s="78">
        <f>'Revenue Model'!H49</f>
        <v>0.02</v>
      </c>
      <c r="H53" s="78">
        <f>'Revenue Model'!I49</f>
        <v>3.5000000000000003E-2</v>
      </c>
      <c r="I53" s="78">
        <f>'Revenue Model'!J49</f>
        <v>4.4999999999999998E-2</v>
      </c>
      <c r="J53" s="36"/>
    </row>
    <row r="54" spans="1:10">
      <c r="C54" s="65"/>
      <c r="D54" s="65"/>
      <c r="E54" s="65"/>
      <c r="F54" s="65"/>
      <c r="G54" s="65"/>
      <c r="H54" s="65"/>
      <c r="I54" s="65"/>
    </row>
    <row r="55" spans="1:10">
      <c r="B55" s="57"/>
      <c r="C55" s="64"/>
      <c r="D55" s="64"/>
      <c r="E55" s="64"/>
      <c r="F55" s="64"/>
      <c r="G55" s="64"/>
      <c r="H55" s="64"/>
      <c r="I55" s="64"/>
    </row>
    <row r="56" spans="1:10">
      <c r="A56" t="s">
        <v>132</v>
      </c>
      <c r="B56" s="794" t="s">
        <v>1169</v>
      </c>
      <c r="C56" s="794"/>
      <c r="D56" s="794"/>
      <c r="E56" s="794"/>
      <c r="F56" s="794"/>
      <c r="G56" s="794"/>
      <c r="H56" s="794"/>
      <c r="I56" s="794"/>
    </row>
    <row r="57" spans="1:10" s="1" customFormat="1">
      <c r="B57" s="79" t="s">
        <v>355</v>
      </c>
      <c r="C57" s="80">
        <v>1366</v>
      </c>
      <c r="D57" s="80">
        <v>3225</v>
      </c>
      <c r="E57" s="80">
        <v>7796</v>
      </c>
      <c r="F57" s="80">
        <v>13229</v>
      </c>
      <c r="G57" s="80">
        <v>19844</v>
      </c>
      <c r="H57" s="80">
        <v>27782</v>
      </c>
      <c r="I57" s="80">
        <v>37506</v>
      </c>
    </row>
    <row r="58" spans="1:10" s="1" customFormat="1">
      <c r="B58" s="79" t="s">
        <v>1145</v>
      </c>
      <c r="C58" s="81">
        <f>'Revenue Model'!D52</f>
        <v>1132</v>
      </c>
      <c r="D58" s="81">
        <f>'Revenue Model'!E52</f>
        <v>2581</v>
      </c>
      <c r="E58" s="81">
        <f>'Revenue Model'!F52</f>
        <v>6618</v>
      </c>
      <c r="F58" s="82">
        <f>'Revenue Model'!G52</f>
        <v>11250.6</v>
      </c>
      <c r="G58" s="82">
        <f>'Revenue Model'!H52</f>
        <v>16875.900000000001</v>
      </c>
      <c r="H58" s="82">
        <f>'Revenue Model'!I52</f>
        <v>23626.260000000002</v>
      </c>
      <c r="I58" s="82">
        <f>'Revenue Model'!J52</f>
        <v>31895.451000000005</v>
      </c>
    </row>
    <row r="59" spans="1:10" s="1" customFormat="1">
      <c r="B59" s="79" t="s">
        <v>1162</v>
      </c>
      <c r="C59" s="83" t="str">
        <f>'Revenue Model'!D53</f>
        <v>-</v>
      </c>
      <c r="D59" s="83" t="str">
        <f>'Revenue Model'!E53</f>
        <v>-</v>
      </c>
      <c r="E59" s="83">
        <f>'Revenue Model'!F53</f>
        <v>0.111</v>
      </c>
      <c r="F59" s="83">
        <f>'Revenue Model'!G53</f>
        <v>0.09</v>
      </c>
      <c r="G59" s="83">
        <f>'Revenue Model'!H53</f>
        <v>9.5000000000000001E-2</v>
      </c>
      <c r="H59" s="83">
        <f>'Revenue Model'!I53</f>
        <v>0.1</v>
      </c>
      <c r="I59" s="83">
        <f>'Revenue Model'!J53</f>
        <v>0.105</v>
      </c>
    </row>
    <row r="60" spans="1:10" s="1" customFormat="1">
      <c r="B60" s="79" t="s">
        <v>386</v>
      </c>
      <c r="C60" s="81">
        <f>'Revenue Model'!D54</f>
        <v>171</v>
      </c>
      <c r="D60" s="82">
        <f>'Revenue Model'!E54</f>
        <v>258</v>
      </c>
      <c r="E60" s="82">
        <f>'Revenue Model'!F54</f>
        <v>737</v>
      </c>
      <c r="F60" s="82">
        <f>'Revenue Model'!G54</f>
        <v>1012.554</v>
      </c>
      <c r="G60" s="82">
        <f>'Revenue Model'!H54</f>
        <v>1603.2105000000001</v>
      </c>
      <c r="H60" s="82">
        <f>'Revenue Model'!I54</f>
        <v>2362.6260000000002</v>
      </c>
      <c r="I60" s="82">
        <f>'Revenue Model'!J54</f>
        <v>3349.0223550000005</v>
      </c>
    </row>
    <row r="61" spans="1:10" s="1" customFormat="1">
      <c r="B61" s="79" t="s">
        <v>1170</v>
      </c>
      <c r="C61" s="364" t="s">
        <v>57</v>
      </c>
      <c r="D61" s="364" t="s">
        <v>57</v>
      </c>
      <c r="E61" s="83">
        <f>E60/E58</f>
        <v>0.11136294953158053</v>
      </c>
      <c r="F61" s="83">
        <f t="shared" ref="F61:I61" si="1">F60/F58</f>
        <v>0.09</v>
      </c>
      <c r="G61" s="83">
        <f t="shared" si="1"/>
        <v>9.5000000000000001E-2</v>
      </c>
      <c r="H61" s="83">
        <f t="shared" si="1"/>
        <v>0.1</v>
      </c>
      <c r="I61" s="83">
        <f t="shared" si="1"/>
        <v>0.105</v>
      </c>
    </row>
    <row r="62" spans="1:10" s="1" customFormat="1">
      <c r="B62" s="79" t="s">
        <v>1015</v>
      </c>
      <c r="C62" s="84">
        <f>'Revenue Model'!D56</f>
        <v>-13</v>
      </c>
      <c r="D62" s="84">
        <f>'Revenue Model'!E56</f>
        <v>-6</v>
      </c>
      <c r="E62" s="84">
        <f>'Revenue Model'!F56</f>
        <v>-38</v>
      </c>
      <c r="F62" s="84">
        <f>'Revenue Model'!G56</f>
        <v>-168.75899999999999</v>
      </c>
      <c r="G62" s="84">
        <f>'Revenue Model'!H56</f>
        <v>-84.379500000000007</v>
      </c>
      <c r="H62" s="84">
        <f>'Revenue Model'!I56</f>
        <v>354.39390000000003</v>
      </c>
      <c r="I62" s="84">
        <f>'Revenue Model'!J56</f>
        <v>956.86353000000008</v>
      </c>
    </row>
    <row r="63" spans="1:10" s="1" customFormat="1">
      <c r="B63" s="79" t="s">
        <v>1171</v>
      </c>
      <c r="C63" s="83">
        <v>-1.0999999999999999E-2</v>
      </c>
      <c r="D63" s="83">
        <v>-2E-3</v>
      </c>
      <c r="E63" s="83">
        <v>-6.0000000000000001E-3</v>
      </c>
      <c r="F63" s="83">
        <v>-1.4999999999999999E-2</v>
      </c>
      <c r="G63" s="83">
        <v>-5.0000000000000001E-3</v>
      </c>
      <c r="H63" s="83">
        <v>1.4999999999999999E-2</v>
      </c>
      <c r="I63" s="83">
        <v>0.03</v>
      </c>
    </row>
    <row r="64" spans="1:10" s="1" customFormat="1">
      <c r="B64" s="79"/>
      <c r="C64" s="85"/>
      <c r="D64" s="85"/>
      <c r="E64" s="85"/>
      <c r="F64" s="85"/>
      <c r="G64" s="85"/>
      <c r="H64" s="85"/>
      <c r="I64" s="85"/>
      <c r="J64" s="36"/>
    </row>
    <row r="65" spans="2:10">
      <c r="B65" s="53"/>
    </row>
    <row r="66" spans="2:10">
      <c r="B66" s="794" t="s">
        <v>1172</v>
      </c>
      <c r="C66" s="794"/>
      <c r="D66" s="794"/>
      <c r="E66" s="794"/>
      <c r="F66" s="794"/>
      <c r="G66" s="794"/>
      <c r="H66" s="794"/>
      <c r="I66" s="794"/>
    </row>
    <row r="67" spans="2:10">
      <c r="B67" s="57" t="s">
        <v>1072</v>
      </c>
      <c r="C67" s="86">
        <f>'3-Statement'!D7</f>
        <v>7079</v>
      </c>
      <c r="D67" s="86">
        <f>'3-Statement'!E7</f>
        <v>12114</v>
      </c>
      <c r="E67" s="86">
        <f>'3-Statement'!F7</f>
        <v>20243</v>
      </c>
      <c r="F67" s="86">
        <f>'3-Statement'!G7</f>
        <v>28641.421700000003</v>
      </c>
      <c r="G67" s="86">
        <f>'3-Statement'!H7</f>
        <v>40122.272420000001</v>
      </c>
      <c r="H67" s="86">
        <f>'3-Statement'!I7</f>
        <v>53093.729126500009</v>
      </c>
      <c r="I67" s="86">
        <f>'3-Statement'!J7</f>
        <v>65159.790804879995</v>
      </c>
      <c r="J67" s="41"/>
    </row>
    <row r="68" spans="2:10">
      <c r="B68" s="53" t="s">
        <v>1173</v>
      </c>
      <c r="C68" s="72">
        <f>C9</f>
        <v>4533</v>
      </c>
      <c r="D68" s="72">
        <f t="shared" ref="D68:I68" si="2">D9</f>
        <v>6361</v>
      </c>
      <c r="E68" s="72">
        <f t="shared" si="2"/>
        <v>8080</v>
      </c>
      <c r="F68" s="72">
        <f t="shared" si="2"/>
        <v>9804.4902000000002</v>
      </c>
      <c r="G68" s="72">
        <f t="shared" si="2"/>
        <v>12039.001919999999</v>
      </c>
      <c r="H68" s="72">
        <f t="shared" si="2"/>
        <v>14652.012563999999</v>
      </c>
      <c r="I68" s="72">
        <f t="shared" si="2"/>
        <v>17142.854699879997</v>
      </c>
      <c r="J68" s="41"/>
    </row>
    <row r="69" spans="2:10">
      <c r="B69" s="53" t="s">
        <v>1174</v>
      </c>
      <c r="C69" s="59">
        <f>C31</f>
        <v>806</v>
      </c>
      <c r="D69" s="59">
        <f t="shared" ref="D69:I69" si="3">D31</f>
        <v>2301</v>
      </c>
      <c r="E69" s="59">
        <f t="shared" si="3"/>
        <v>5206</v>
      </c>
      <c r="F69" s="87">
        <f t="shared" si="3"/>
        <v>7885.7774999999992</v>
      </c>
      <c r="G69" s="87">
        <f t="shared" si="3"/>
        <v>12080.34</v>
      </c>
      <c r="H69" s="87">
        <f t="shared" si="3"/>
        <v>16648.218562500002</v>
      </c>
      <c r="I69" s="87">
        <f t="shared" si="3"/>
        <v>20385.57375</v>
      </c>
      <c r="J69" s="41"/>
    </row>
    <row r="70" spans="2:10">
      <c r="B70" s="53" t="s">
        <v>1175</v>
      </c>
      <c r="C70" s="72">
        <f>C48</f>
        <v>1506</v>
      </c>
      <c r="D70" s="72">
        <f t="shared" ref="D70:I70" si="4">D48</f>
        <v>3172</v>
      </c>
      <c r="E70" s="72">
        <f t="shared" si="4"/>
        <v>6196</v>
      </c>
      <c r="F70" s="87">
        <f t="shared" si="4"/>
        <v>9913.6</v>
      </c>
      <c r="G70" s="87">
        <f t="shared" si="4"/>
        <v>14374.72</v>
      </c>
      <c r="H70" s="87">
        <f t="shared" si="4"/>
        <v>19405.871999999999</v>
      </c>
      <c r="I70" s="87">
        <f t="shared" si="4"/>
        <v>24257.34</v>
      </c>
      <c r="J70" s="41"/>
    </row>
    <row r="71" spans="2:10">
      <c r="B71" s="53" t="s">
        <v>1176</v>
      </c>
      <c r="C71" s="59">
        <f>C60</f>
        <v>171</v>
      </c>
      <c r="D71" s="59">
        <f t="shared" ref="D71:I71" si="5">D60</f>
        <v>258</v>
      </c>
      <c r="E71" s="59">
        <f t="shared" si="5"/>
        <v>737</v>
      </c>
      <c r="F71" s="87">
        <f t="shared" si="5"/>
        <v>1012.554</v>
      </c>
      <c r="G71" s="87">
        <f t="shared" si="5"/>
        <v>1603.2105000000001</v>
      </c>
      <c r="H71" s="87">
        <f t="shared" si="5"/>
        <v>2362.6260000000002</v>
      </c>
      <c r="I71" s="87">
        <f t="shared" si="5"/>
        <v>3349.0223550000005</v>
      </c>
      <c r="J71" s="41"/>
    </row>
    <row r="72" spans="2:10">
      <c r="B72" s="53" t="s">
        <v>169</v>
      </c>
      <c r="C72" s="72">
        <f>'3-Statement'!D12</f>
        <v>234</v>
      </c>
      <c r="D72" s="72">
        <f>'3-Statement'!E12</f>
        <v>22</v>
      </c>
      <c r="E72" s="72">
        <f>'3-Statement'!F12</f>
        <v>24</v>
      </c>
      <c r="F72" s="72">
        <f>'3-Statement'!G12</f>
        <v>25</v>
      </c>
      <c r="G72" s="72">
        <f>'3-Statement'!H12</f>
        <v>25</v>
      </c>
      <c r="H72" s="72">
        <f>'3-Statement'!I12</f>
        <v>25</v>
      </c>
      <c r="I72" s="72">
        <f>'3-Statement'!J12</f>
        <v>25</v>
      </c>
      <c r="J72" s="41"/>
    </row>
    <row r="73" spans="2:10">
      <c r="B73" s="57" t="s">
        <v>1177</v>
      </c>
      <c r="C73" s="54">
        <f>'3-Statement'!D27</f>
        <v>-765</v>
      </c>
      <c r="D73" s="54">
        <f>'3-Statement'!E27</f>
        <v>372</v>
      </c>
      <c r="E73" s="54">
        <f>'3-Statement'!F27</f>
        <v>1079</v>
      </c>
      <c r="F73" s="54">
        <f>'3-Statement'!G27</f>
        <v>2274.8514759999994</v>
      </c>
      <c r="G73" s="54">
        <f>'3-Statement'!H27</f>
        <v>3753.0490556</v>
      </c>
      <c r="H73" s="54">
        <f>'3-Statement'!I27</f>
        <v>6529.8646311192006</v>
      </c>
      <c r="I73" s="54">
        <f>'3-Statement'!J27</f>
        <v>9407.7513410675037</v>
      </c>
      <c r="J73" s="41"/>
    </row>
    <row r="74" spans="2:10">
      <c r="B74" s="53" t="s">
        <v>1178</v>
      </c>
      <c r="C74" s="54">
        <f>C15</f>
        <v>-10</v>
      </c>
      <c r="D74" s="54">
        <v>912</v>
      </c>
      <c r="E74" s="54">
        <v>1505</v>
      </c>
      <c r="F74" s="54">
        <v>2016</v>
      </c>
      <c r="G74" s="54">
        <v>2543</v>
      </c>
      <c r="H74" s="54">
        <v>3118</v>
      </c>
      <c r="I74" s="88">
        <v>3690</v>
      </c>
      <c r="J74" s="41"/>
    </row>
    <row r="75" spans="2:10">
      <c r="B75" s="53" t="s">
        <v>1179</v>
      </c>
      <c r="C75" s="54">
        <f>C41</f>
        <v>-1016</v>
      </c>
      <c r="D75" s="54">
        <v>-384</v>
      </c>
      <c r="E75" s="54">
        <v>-292</v>
      </c>
      <c r="F75" s="54">
        <v>403</v>
      </c>
      <c r="G75" s="54">
        <v>1208</v>
      </c>
      <c r="H75" s="54">
        <v>2854</v>
      </c>
      <c r="I75" s="88">
        <v>4403</v>
      </c>
      <c r="J75" s="41"/>
    </row>
    <row r="76" spans="2:10">
      <c r="B76" s="53" t="s">
        <v>1180</v>
      </c>
      <c r="C76" s="54">
        <f>C52</f>
        <v>-194</v>
      </c>
      <c r="D76" s="54">
        <v>-126</v>
      </c>
      <c r="E76" s="54">
        <v>-84</v>
      </c>
      <c r="F76" s="54">
        <v>99</v>
      </c>
      <c r="G76" s="54">
        <v>288</v>
      </c>
      <c r="H76" s="54">
        <v>679</v>
      </c>
      <c r="I76" s="88">
        <v>1092</v>
      </c>
      <c r="J76" s="41"/>
    </row>
    <row r="77" spans="2:10">
      <c r="B77" s="53" t="s">
        <v>1181</v>
      </c>
      <c r="C77" s="54">
        <f>C62</f>
        <v>-13</v>
      </c>
      <c r="D77" s="54">
        <v>-6</v>
      </c>
      <c r="E77" s="54">
        <v>-38</v>
      </c>
      <c r="F77" s="54">
        <v>-169</v>
      </c>
      <c r="G77" s="54">
        <v>-84</v>
      </c>
      <c r="H77" s="54">
        <v>354</v>
      </c>
      <c r="I77" s="88">
        <v>957</v>
      </c>
      <c r="J77" s="41"/>
    </row>
    <row r="78" spans="2:10">
      <c r="B78" s="57" t="s">
        <v>59</v>
      </c>
      <c r="C78" s="73">
        <f>'3-Statement'!D28</f>
        <v>-0.10806611103263172</v>
      </c>
      <c r="D78" s="73">
        <f>'3-Statement'!E28</f>
        <v>3.0708271421495788E-2</v>
      </c>
      <c r="E78" s="73">
        <f>'3-Statement'!F28</f>
        <v>5.3302376130020257E-2</v>
      </c>
      <c r="F78" s="73">
        <f>'3-Statement'!G28</f>
        <v>7.9425228950837978E-2</v>
      </c>
      <c r="G78" s="73">
        <f>'3-Statement'!H28</f>
        <v>9.3540291444938056E-2</v>
      </c>
      <c r="H78" s="73">
        <f>'3-Statement'!I28</f>
        <v>0.12298749284611901</v>
      </c>
      <c r="I78" s="73">
        <f>'3-Statement'!J28</f>
        <v>0.14437970449044063</v>
      </c>
      <c r="J78" s="41"/>
    </row>
    <row r="79" spans="2:10">
      <c r="B79" s="57" t="s">
        <v>1182</v>
      </c>
      <c r="C79" s="89">
        <v>34120</v>
      </c>
      <c r="D79" s="89">
        <v>47918</v>
      </c>
      <c r="E79" s="89">
        <v>74715</v>
      </c>
      <c r="F79" s="89">
        <v>109165</v>
      </c>
      <c r="G79" s="89">
        <v>150069</v>
      </c>
      <c r="H79" s="89">
        <v>194830</v>
      </c>
      <c r="I79" s="90">
        <v>236009</v>
      </c>
      <c r="J79" s="41"/>
    </row>
    <row r="80" spans="2:10">
      <c r="B80" s="53" t="s">
        <v>1183</v>
      </c>
      <c r="C80" s="91"/>
      <c r="D80" s="91"/>
      <c r="E80" s="91"/>
      <c r="F80" s="91"/>
      <c r="G80" s="91"/>
      <c r="H80" s="91"/>
      <c r="I80" s="91"/>
      <c r="J80" s="819">
        <v>0.36</v>
      </c>
    </row>
  </sheetData>
  <mergeCells count="6">
    <mergeCell ref="B66:I66"/>
    <mergeCell ref="B2:I2"/>
    <mergeCell ref="B5:I5"/>
    <mergeCell ref="B24:I24"/>
    <mergeCell ref="B47:I47"/>
    <mergeCell ref="B56:I5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2026-03-30T17:05:48Z</dcterms:created>
  <dcterms:modified xsi:type="dcterms:W3CDTF">2026-04-27T15:20:03Z</dcterms:modified>
  <cp:category/>
  <cp:contentStatus/>
</cp:coreProperties>
</file>